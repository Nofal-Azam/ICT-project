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 1\Desktop\marketing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I3" i="2" l="1"/>
  <c r="I4" i="2"/>
  <c r="H3" i="2"/>
  <c r="H4" i="2"/>
  <c r="I6" i="2"/>
  <c r="I5" i="2"/>
  <c r="H6" i="2"/>
  <c r="H5" i="2"/>
  <c r="G5" i="1" l="1"/>
</calcChain>
</file>

<file path=xl/sharedStrings.xml><?xml version="1.0" encoding="utf-8"?>
<sst xmlns="http://schemas.openxmlformats.org/spreadsheetml/2006/main" count="224" uniqueCount="41">
  <si>
    <t>PSX Transactions</t>
  </si>
  <si>
    <t>Date</t>
  </si>
  <si>
    <t>Company Symbol</t>
  </si>
  <si>
    <t>Company Name</t>
  </si>
  <si>
    <t>Transaction Type</t>
  </si>
  <si>
    <t>Quantity</t>
  </si>
  <si>
    <t>Price Per Share (pkr)</t>
  </si>
  <si>
    <t>Total Amount(pkr)</t>
  </si>
  <si>
    <t>Remarks</t>
  </si>
  <si>
    <t>ENGRO</t>
  </si>
  <si>
    <t>Engro Corporation Ltd</t>
  </si>
  <si>
    <t>Buy</t>
  </si>
  <si>
    <t>Long-term</t>
  </si>
  <si>
    <t>LUCK</t>
  </si>
  <si>
    <t>Lucky Cement Ltd</t>
  </si>
  <si>
    <t>Short-term</t>
  </si>
  <si>
    <t>Sell</t>
  </si>
  <si>
    <t>Sold for profit</t>
  </si>
  <si>
    <t>Portfolio Summary</t>
  </si>
  <si>
    <t>Total Bought (PKR)</t>
  </si>
  <si>
    <t>Total Sold(PKR)</t>
  </si>
  <si>
    <t>Net Shares</t>
  </si>
  <si>
    <t>Average Buy Price(PKR)</t>
  </si>
  <si>
    <t>Current Market Price (PKR)</t>
  </si>
  <si>
    <t>Market Value (PKR)</t>
  </si>
  <si>
    <t>Profit/Loss (PKR)</t>
  </si>
  <si>
    <t>Status</t>
  </si>
  <si>
    <t>Holding</t>
  </si>
  <si>
    <t>FCCl</t>
  </si>
  <si>
    <t xml:space="preserve">Fauji Cement </t>
  </si>
  <si>
    <t>KEL</t>
  </si>
  <si>
    <t>K electric</t>
  </si>
  <si>
    <t>holding</t>
  </si>
  <si>
    <t>DCR</t>
  </si>
  <si>
    <t>FCCL</t>
  </si>
  <si>
    <t>HUBC</t>
  </si>
  <si>
    <t>Dolmen City REIT</t>
  </si>
  <si>
    <t>Hub Power company</t>
  </si>
  <si>
    <t>Fauji cement company</t>
  </si>
  <si>
    <t>MARI</t>
  </si>
  <si>
    <t>Mari Energies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</si>
</sst>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3" fontId="0" fillId="0" borderId="0" xfId="0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Sheet2!$B$3:$B$6</c:f>
              <c:strCache>
                <c:ptCount val="4"/>
                <c:pt idx="0">
                  <c:v>Engro Corporation Ltd</c:v>
                </c:pt>
                <c:pt idx="1">
                  <c:v>Lucky Cement Ltd</c:v>
                </c:pt>
                <c:pt idx="2">
                  <c:v>Fauji Cement </c:v>
                </c:pt>
                <c:pt idx="3">
                  <c:v>K electric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>
                  <c:v>1181250</c:v>
                </c:pt>
                <c:pt idx="1">
                  <c:v>1149725</c:v>
                </c:pt>
                <c:pt idx="2">
                  <c:v>1149869</c:v>
                </c:pt>
                <c:pt idx="3">
                  <c:v>590000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vs Market Value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Sheet2!$C$1:$C$2</c:f>
              <c:strCache>
                <c:ptCount val="2"/>
                <c:pt idx="1">
                  <c:v>Total Bought (PKR)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Sheet2!$B$3:$B$6</c:f>
              <c:strCache>
                <c:ptCount val="4"/>
                <c:pt idx="0">
                  <c:v>Engro Corporation Ltd</c:v>
                </c:pt>
                <c:pt idx="1">
                  <c:v>Lucky Cement Ltd</c:v>
                </c:pt>
                <c:pt idx="2">
                  <c:v>Fauji Cement </c:v>
                </c:pt>
                <c:pt idx="3">
                  <c:v>K electric</c:v>
                </c:pt>
              </c:strCache>
            </c:strRef>
          </c:cat>
          <c:val>
            <c:numRef>
              <c:f>Sheet2!$C$3:$C$6</c:f>
              <c:numCache>
                <c:formatCode>General</c:formatCode>
                <c:ptCount val="4"/>
                <c:pt idx="0">
                  <c:v>1181250</c:v>
                </c:pt>
                <c:pt idx="1">
                  <c:v>1149725</c:v>
                </c:pt>
                <c:pt idx="2">
                  <c:v>1149869</c:v>
                </c:pt>
                <c:pt idx="3">
                  <c:v>590000</c:v>
                </c:pt>
              </c:numCache>
            </c:numRef>
          </c:val>
        </c:ser>
        <c:ser>
          <c:idx val="1"/>
          <c:order val="1"/>
          <c:tx>
            <c:strRef>
              <c:f>Sheet2!$H$1:$H$2</c:f>
              <c:strCache>
                <c:ptCount val="2"/>
                <c:pt idx="1">
                  <c:v>Market Value (PKR)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Sheet2!$B$3:$B$6</c:f>
              <c:strCache>
                <c:ptCount val="4"/>
                <c:pt idx="0">
                  <c:v>Engro Corporation Ltd</c:v>
                </c:pt>
                <c:pt idx="1">
                  <c:v>Lucky Cement Ltd</c:v>
                </c:pt>
                <c:pt idx="2">
                  <c:v>Fauji Cement </c:v>
                </c:pt>
                <c:pt idx="3">
                  <c:v>K electric</c:v>
                </c:pt>
              </c:strCache>
            </c:strRef>
          </c:cat>
          <c:val>
            <c:numRef>
              <c:f>Sheet2!$H$3:$H$6</c:f>
              <c:numCache>
                <c:formatCode>General</c:formatCode>
                <c:ptCount val="4"/>
                <c:pt idx="0">
                  <c:v>435825</c:v>
                </c:pt>
                <c:pt idx="1">
                  <c:v>1123375</c:v>
                </c:pt>
                <c:pt idx="2">
                  <c:v>2354040</c:v>
                </c:pt>
                <c:pt idx="3">
                  <c:v>525336.5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644328"/>
        <c:axId val="327157920"/>
      </c:barChart>
      <c:catAx>
        <c:axId val="326644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7920"/>
        <c:crosses val="autoZero"/>
        <c:auto val="1"/>
        <c:lblAlgn val="ctr"/>
        <c:lblOffset val="100"/>
        <c:noMultiLvlLbl val="0"/>
      </c:catAx>
      <c:valAx>
        <c:axId val="3271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64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371475</xdr:colOff>
      <xdr:row>14</xdr:row>
      <xdr:rowOff>80962</xdr:rowOff>
    </xdr:from>
    <xdr:to>
      <xdr:col>6</xdr:col>
      <xdr:colOff>247650</xdr:colOff>
      <xdr:row>29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16</xdr:row>
      <xdr:rowOff>100012</xdr:rowOff>
    </xdr:from>
    <xdr:to>
      <xdr:col>10</xdr:col>
      <xdr:colOff>219075</xdr:colOff>
      <xdr:row>31</xdr:row>
      <xdr:rowOff>128587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>
      <selection activeCell="G4" sqref="G4"/>
    </sheetView>
  </sheetViews>
  <sheetFormatPr defaultRowHeight="14.25"/>
  <cols>
    <col min="1" max="1" width="15.625" bestFit="1" customWidth="1"/>
    <col min="2" max="2" width="15.875" bestFit="1" customWidth="1"/>
    <col min="3" max="3" width="19.625" bestFit="1" customWidth="1"/>
    <col min="4" max="4" width="15.25" bestFit="1" customWidth="1"/>
    <col min="6" max="6" width="18.125" bestFit="1" customWidth="1"/>
    <col min="7" max="7" width="16.25" bestFit="1" customWidth="1"/>
    <col min="8" max="8" width="12.375" bestFit="1" customWidth="1"/>
  </cols>
  <sheetData>
    <row r="1" spans="1:8" s="5" customFormat="1" ht="20.25">
      <c r="A1" s="7" t="s">
        <v>0</v>
      </c>
      <c r="B1" s="7"/>
      <c r="C1" s="7"/>
      <c r="D1" s="7"/>
      <c r="E1" s="7"/>
      <c r="F1" s="7"/>
      <c r="G1" s="7"/>
      <c r="H1" s="7"/>
    </row>
    <row r="2" spans="1:8" ht="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45672</v>
      </c>
      <c r="B3" s="3" t="s">
        <v>9</v>
      </c>
      <c r="C3" s="4" t="s">
        <v>10</v>
      </c>
      <c r="D3" s="4" t="s">
        <v>11</v>
      </c>
      <c r="E3" s="4">
        <v>5000</v>
      </c>
      <c r="F3" s="4">
        <v>236</v>
      </c>
      <c r="G3" s="4">
        <f>SUM(E3*F3)</f>
        <v>1180000</v>
      </c>
      <c r="H3" s="4" t="s">
        <v>12</v>
      </c>
    </row>
    <row r="4" spans="1:8">
      <c r="A4" s="3">
        <v>45698</v>
      </c>
      <c r="B4" s="4" t="s">
        <v>13</v>
      </c>
      <c r="C4" s="4" t="s">
        <v>14</v>
      </c>
      <c r="D4" s="4" t="s">
        <v>11</v>
      </c>
      <c r="E4" s="4">
        <v>2500</v>
      </c>
      <c r="F4" s="4">
        <v>459</v>
      </c>
      <c r="G4" s="4">
        <f>SUM(E4*F4)</f>
        <v>1147500</v>
      </c>
      <c r="H4" s="4" t="s">
        <v>15</v>
      </c>
    </row>
    <row r="5" spans="1:8">
      <c r="A5" s="3">
        <v>45736</v>
      </c>
      <c r="B5" s="4" t="s">
        <v>9</v>
      </c>
      <c r="C5" s="4" t="s">
        <v>10</v>
      </c>
      <c r="D5" s="4" t="s">
        <v>16</v>
      </c>
      <c r="E5" s="4">
        <v>3500</v>
      </c>
      <c r="F5" s="4">
        <v>287</v>
      </c>
      <c r="G5" s="4">
        <f t="shared" ref="G4:G50" si="0">SUM(E5*F5)</f>
        <v>1004500</v>
      </c>
      <c r="H5" s="4" t="s">
        <v>17</v>
      </c>
    </row>
    <row r="6" spans="1:8">
      <c r="A6" s="3">
        <v>45737</v>
      </c>
      <c r="B6" s="4" t="s">
        <v>13</v>
      </c>
      <c r="C6" s="4" t="s">
        <v>14</v>
      </c>
      <c r="D6" s="4" t="s">
        <v>11</v>
      </c>
      <c r="E6" s="4">
        <v>10000</v>
      </c>
      <c r="F6" s="4">
        <v>400</v>
      </c>
      <c r="G6" s="4">
        <f t="shared" si="0"/>
        <v>4000000</v>
      </c>
      <c r="H6" s="4" t="s">
        <v>12</v>
      </c>
    </row>
    <row r="7" spans="1:8">
      <c r="A7" s="3">
        <v>45738</v>
      </c>
      <c r="B7" s="4" t="s">
        <v>33</v>
      </c>
      <c r="C7" s="4" t="s">
        <v>36</v>
      </c>
      <c r="D7" s="4" t="s">
        <v>11</v>
      </c>
      <c r="E7" s="4">
        <v>10000</v>
      </c>
      <c r="F7" s="4">
        <v>28</v>
      </c>
      <c r="G7" s="4">
        <f t="shared" si="0"/>
        <v>280000</v>
      </c>
      <c r="H7" s="4" t="s">
        <v>15</v>
      </c>
    </row>
    <row r="8" spans="1:8">
      <c r="A8" s="3">
        <v>45739</v>
      </c>
      <c r="B8" s="4" t="s">
        <v>9</v>
      </c>
      <c r="C8" s="4" t="s">
        <v>10</v>
      </c>
      <c r="D8" s="4" t="s">
        <v>11</v>
      </c>
      <c r="E8" s="4">
        <v>10000</v>
      </c>
      <c r="F8" s="4">
        <v>230</v>
      </c>
      <c r="G8" s="4">
        <f t="shared" si="0"/>
        <v>2300000</v>
      </c>
      <c r="H8" s="4" t="s">
        <v>12</v>
      </c>
    </row>
    <row r="9" spans="1:8">
      <c r="A9" s="3">
        <v>45740</v>
      </c>
      <c r="B9" s="4" t="s">
        <v>13</v>
      </c>
      <c r="C9" s="4" t="s">
        <v>14</v>
      </c>
      <c r="D9" s="4" t="s">
        <v>11</v>
      </c>
      <c r="E9" s="4">
        <v>150</v>
      </c>
      <c r="F9" s="4">
        <v>400</v>
      </c>
      <c r="G9" s="4">
        <f t="shared" si="0"/>
        <v>60000</v>
      </c>
      <c r="H9" s="4" t="s">
        <v>15</v>
      </c>
    </row>
    <row r="10" spans="1:8">
      <c r="A10" s="3">
        <v>45741</v>
      </c>
      <c r="B10" s="4" t="s">
        <v>33</v>
      </c>
      <c r="C10" s="4" t="s">
        <v>36</v>
      </c>
      <c r="D10" s="4" t="s">
        <v>11</v>
      </c>
      <c r="E10" s="4">
        <v>5000</v>
      </c>
      <c r="F10" s="4">
        <v>29</v>
      </c>
      <c r="G10" s="4">
        <f t="shared" si="0"/>
        <v>145000</v>
      </c>
      <c r="H10" s="4" t="s">
        <v>15</v>
      </c>
    </row>
    <row r="11" spans="1:8">
      <c r="A11" s="3">
        <v>45742</v>
      </c>
      <c r="B11" s="4" t="s">
        <v>34</v>
      </c>
      <c r="C11" s="4" t="s">
        <v>38</v>
      </c>
      <c r="D11" s="4" t="s">
        <v>11</v>
      </c>
      <c r="E11" s="4">
        <v>5000</v>
      </c>
      <c r="F11" s="4">
        <v>34</v>
      </c>
      <c r="G11" s="4">
        <f t="shared" si="0"/>
        <v>170000</v>
      </c>
      <c r="H11" s="4" t="s">
        <v>15</v>
      </c>
    </row>
    <row r="12" spans="1:8">
      <c r="A12" s="3">
        <v>45743</v>
      </c>
      <c r="B12" s="4" t="s">
        <v>33</v>
      </c>
      <c r="C12" s="4" t="s">
        <v>36</v>
      </c>
      <c r="D12" s="4" t="s">
        <v>16</v>
      </c>
      <c r="E12" s="4">
        <v>200</v>
      </c>
      <c r="F12" s="4">
        <v>30</v>
      </c>
      <c r="G12" s="4">
        <f t="shared" si="0"/>
        <v>6000</v>
      </c>
      <c r="H12" s="4" t="s">
        <v>17</v>
      </c>
    </row>
    <row r="13" spans="1:8">
      <c r="A13" s="3">
        <v>45744</v>
      </c>
      <c r="B13" s="4" t="s">
        <v>34</v>
      </c>
      <c r="C13" s="4" t="s">
        <v>38</v>
      </c>
      <c r="D13" s="4" t="s">
        <v>16</v>
      </c>
      <c r="E13" s="4">
        <v>200</v>
      </c>
      <c r="F13" s="4">
        <v>33</v>
      </c>
      <c r="G13" s="4">
        <f t="shared" si="0"/>
        <v>6600</v>
      </c>
      <c r="H13" s="4" t="s">
        <v>17</v>
      </c>
    </row>
    <row r="14" spans="1:8">
      <c r="A14" s="3">
        <v>45745</v>
      </c>
      <c r="B14" s="4" t="s">
        <v>33</v>
      </c>
      <c r="C14" s="4" t="s">
        <v>36</v>
      </c>
      <c r="D14" s="4" t="s">
        <v>11</v>
      </c>
      <c r="E14" s="4">
        <v>400</v>
      </c>
      <c r="F14" s="4">
        <v>29</v>
      </c>
      <c r="G14" s="4">
        <f t="shared" si="0"/>
        <v>11600</v>
      </c>
      <c r="H14" s="4" t="s">
        <v>12</v>
      </c>
    </row>
    <row r="15" spans="1:8">
      <c r="A15" s="3">
        <v>45746</v>
      </c>
      <c r="B15" s="4" t="s">
        <v>13</v>
      </c>
      <c r="C15" s="4" t="s">
        <v>14</v>
      </c>
      <c r="D15" s="4" t="s">
        <v>16</v>
      </c>
      <c r="E15" s="4">
        <v>555</v>
      </c>
      <c r="F15" s="4">
        <v>420</v>
      </c>
      <c r="G15" s="4">
        <f t="shared" si="0"/>
        <v>233100</v>
      </c>
      <c r="H15" s="4" t="s">
        <v>17</v>
      </c>
    </row>
    <row r="16" spans="1:8">
      <c r="A16" s="3">
        <v>45747</v>
      </c>
      <c r="B16" s="4" t="s">
        <v>35</v>
      </c>
      <c r="C16" s="4" t="s">
        <v>37</v>
      </c>
      <c r="D16" s="4" t="s">
        <v>16</v>
      </c>
      <c r="E16" s="4">
        <v>1000</v>
      </c>
      <c r="F16" s="4">
        <v>145</v>
      </c>
      <c r="G16" s="4">
        <f t="shared" si="0"/>
        <v>145000</v>
      </c>
      <c r="H16" s="4" t="s">
        <v>17</v>
      </c>
    </row>
    <row r="17" spans="1:8">
      <c r="A17" s="3">
        <v>45748</v>
      </c>
      <c r="B17" s="4" t="s">
        <v>35</v>
      </c>
      <c r="C17" t="s">
        <v>37</v>
      </c>
      <c r="D17" s="4" t="s">
        <v>16</v>
      </c>
      <c r="E17" s="4">
        <v>241</v>
      </c>
      <c r="F17" s="4">
        <v>152</v>
      </c>
      <c r="G17" s="4">
        <f t="shared" si="0"/>
        <v>36632</v>
      </c>
      <c r="H17" s="4" t="s">
        <v>17</v>
      </c>
    </row>
    <row r="18" spans="1:8">
      <c r="A18" s="3">
        <v>45749</v>
      </c>
      <c r="B18" s="4" t="s">
        <v>33</v>
      </c>
      <c r="C18" s="4" t="s">
        <v>36</v>
      </c>
      <c r="D18" s="4" t="s">
        <v>16</v>
      </c>
      <c r="E18" s="4">
        <v>196</v>
      </c>
      <c r="F18" s="4">
        <v>31</v>
      </c>
      <c r="G18" s="4">
        <f t="shared" si="0"/>
        <v>6076</v>
      </c>
      <c r="H18" s="4" t="s">
        <v>17</v>
      </c>
    </row>
    <row r="19" spans="1:8">
      <c r="A19" s="3">
        <v>45750</v>
      </c>
      <c r="B19" s="4" t="s">
        <v>33</v>
      </c>
      <c r="C19" s="4" t="s">
        <v>36</v>
      </c>
      <c r="D19" s="4" t="s">
        <v>16</v>
      </c>
      <c r="E19" s="4">
        <v>1000</v>
      </c>
      <c r="F19" s="4">
        <v>32</v>
      </c>
      <c r="G19" s="4">
        <f t="shared" si="0"/>
        <v>32000</v>
      </c>
      <c r="H19" s="4" t="s">
        <v>17</v>
      </c>
    </row>
    <row r="20" spans="1:8">
      <c r="A20" s="3">
        <v>45751</v>
      </c>
      <c r="B20" s="4" t="s">
        <v>33</v>
      </c>
      <c r="C20" s="4" t="s">
        <v>36</v>
      </c>
      <c r="D20" s="4" t="s">
        <v>16</v>
      </c>
      <c r="E20" s="4">
        <v>1000</v>
      </c>
      <c r="F20" s="4">
        <v>33.5</v>
      </c>
      <c r="G20" s="4">
        <f t="shared" si="0"/>
        <v>33500</v>
      </c>
      <c r="H20" s="4" t="s">
        <v>17</v>
      </c>
    </row>
    <row r="21" spans="1:8">
      <c r="A21" s="3">
        <v>45752</v>
      </c>
      <c r="B21" s="4" t="s">
        <v>33</v>
      </c>
      <c r="C21" s="4" t="s">
        <v>36</v>
      </c>
      <c r="D21" s="4" t="s">
        <v>16</v>
      </c>
      <c r="E21" s="4">
        <v>1000</v>
      </c>
      <c r="F21" s="4">
        <v>32</v>
      </c>
      <c r="G21" s="4">
        <f t="shared" si="0"/>
        <v>32000</v>
      </c>
      <c r="H21" s="4" t="s">
        <v>17</v>
      </c>
    </row>
    <row r="22" spans="1:8">
      <c r="A22" s="3">
        <v>45753</v>
      </c>
      <c r="B22" s="4" t="s">
        <v>13</v>
      </c>
      <c r="C22" s="4" t="s">
        <v>14</v>
      </c>
      <c r="D22" s="4" t="s">
        <v>16</v>
      </c>
      <c r="E22" s="4">
        <v>150</v>
      </c>
      <c r="F22" s="4">
        <v>410</v>
      </c>
      <c r="G22" s="4">
        <f t="shared" si="0"/>
        <v>61500</v>
      </c>
      <c r="H22" s="4" t="s">
        <v>17</v>
      </c>
    </row>
    <row r="23" spans="1:8">
      <c r="A23" s="3">
        <v>45754</v>
      </c>
      <c r="B23" s="4" t="s">
        <v>34</v>
      </c>
      <c r="C23" s="4" t="s">
        <v>38</v>
      </c>
      <c r="D23" s="4" t="s">
        <v>11</v>
      </c>
      <c r="E23" s="4">
        <v>150</v>
      </c>
      <c r="F23" s="4">
        <v>32</v>
      </c>
      <c r="G23" s="4">
        <f t="shared" si="0"/>
        <v>4800</v>
      </c>
      <c r="H23" s="4" t="s">
        <v>12</v>
      </c>
    </row>
    <row r="24" spans="1:8">
      <c r="A24" s="3">
        <v>45755</v>
      </c>
      <c r="B24" s="4" t="s">
        <v>9</v>
      </c>
      <c r="C24" s="4" t="s">
        <v>10</v>
      </c>
      <c r="D24" s="4" t="s">
        <v>11</v>
      </c>
      <c r="E24" s="4">
        <v>500</v>
      </c>
      <c r="F24" s="4">
        <v>220</v>
      </c>
      <c r="G24" s="4">
        <f t="shared" si="0"/>
        <v>110000</v>
      </c>
      <c r="H24" s="4" t="s">
        <v>15</v>
      </c>
    </row>
    <row r="25" spans="1:8">
      <c r="A25" s="3">
        <v>45756</v>
      </c>
      <c r="B25" s="4" t="s">
        <v>13</v>
      </c>
      <c r="C25" s="4" t="s">
        <v>14</v>
      </c>
      <c r="D25" s="4" t="s">
        <v>11</v>
      </c>
      <c r="E25" s="4">
        <v>2500</v>
      </c>
      <c r="F25" s="4">
        <v>388</v>
      </c>
      <c r="G25" s="4">
        <f t="shared" si="0"/>
        <v>970000</v>
      </c>
      <c r="H25" s="4" t="s">
        <v>15</v>
      </c>
    </row>
    <row r="26" spans="1:8">
      <c r="A26" s="3">
        <v>45757</v>
      </c>
      <c r="B26" s="4" t="s">
        <v>33</v>
      </c>
      <c r="C26" s="4" t="s">
        <v>36</v>
      </c>
      <c r="D26" s="4" t="s">
        <v>11</v>
      </c>
      <c r="E26" s="4">
        <v>500</v>
      </c>
      <c r="F26" s="4">
        <v>29</v>
      </c>
      <c r="G26" s="4">
        <f t="shared" si="0"/>
        <v>14500</v>
      </c>
      <c r="H26" s="4" t="s">
        <v>15</v>
      </c>
    </row>
    <row r="27" spans="1:8">
      <c r="A27" s="3">
        <v>45758</v>
      </c>
      <c r="B27" s="4" t="s">
        <v>35</v>
      </c>
      <c r="C27" s="4" t="s">
        <v>37</v>
      </c>
      <c r="D27" s="4" t="s">
        <v>11</v>
      </c>
      <c r="E27" s="4">
        <v>1300</v>
      </c>
      <c r="F27" s="4">
        <v>152</v>
      </c>
      <c r="G27" s="4">
        <f t="shared" si="0"/>
        <v>197600</v>
      </c>
      <c r="H27" s="4" t="s">
        <v>15</v>
      </c>
    </row>
    <row r="28" spans="1:8">
      <c r="A28" s="3">
        <v>45759</v>
      </c>
      <c r="B28" s="4" t="s">
        <v>35</v>
      </c>
      <c r="C28" s="4" t="s">
        <v>37</v>
      </c>
      <c r="D28" s="4" t="s">
        <v>16</v>
      </c>
      <c r="E28" s="4">
        <v>1200</v>
      </c>
      <c r="F28" s="4">
        <v>158</v>
      </c>
      <c r="G28" s="4">
        <f t="shared" si="0"/>
        <v>189600</v>
      </c>
      <c r="H28" s="4" t="s">
        <v>17</v>
      </c>
    </row>
    <row r="29" spans="1:8">
      <c r="A29" s="3">
        <v>45760</v>
      </c>
      <c r="B29" s="4" t="s">
        <v>35</v>
      </c>
      <c r="C29" s="4" t="s">
        <v>37</v>
      </c>
      <c r="D29" s="4" t="s">
        <v>11</v>
      </c>
      <c r="E29" s="4">
        <v>1300</v>
      </c>
      <c r="F29" s="4">
        <v>149</v>
      </c>
      <c r="G29" s="4">
        <f t="shared" si="0"/>
        <v>193700</v>
      </c>
      <c r="H29" s="4" t="s">
        <v>15</v>
      </c>
    </row>
    <row r="30" spans="1:8">
      <c r="A30" s="3">
        <v>45761</v>
      </c>
      <c r="B30" s="4" t="s">
        <v>33</v>
      </c>
      <c r="C30" s="4" t="s">
        <v>36</v>
      </c>
      <c r="D30" s="4" t="s">
        <v>16</v>
      </c>
      <c r="E30" s="4">
        <v>500</v>
      </c>
      <c r="F30" s="4">
        <v>33</v>
      </c>
      <c r="G30" s="4">
        <f t="shared" si="0"/>
        <v>16500</v>
      </c>
      <c r="H30" s="4" t="s">
        <v>17</v>
      </c>
    </row>
    <row r="31" spans="1:8">
      <c r="A31" s="3">
        <v>45762</v>
      </c>
      <c r="B31" s="4" t="s">
        <v>33</v>
      </c>
      <c r="C31" s="4" t="s">
        <v>36</v>
      </c>
      <c r="D31" s="4" t="s">
        <v>11</v>
      </c>
      <c r="E31" s="4">
        <v>4500</v>
      </c>
      <c r="F31" s="4">
        <v>29</v>
      </c>
      <c r="G31" s="4">
        <f t="shared" si="0"/>
        <v>130500</v>
      </c>
      <c r="H31" s="4" t="s">
        <v>15</v>
      </c>
    </row>
    <row r="32" spans="1:8">
      <c r="A32" s="3">
        <v>45763</v>
      </c>
      <c r="B32" s="4" t="s">
        <v>33</v>
      </c>
      <c r="C32" s="4" t="s">
        <v>36</v>
      </c>
      <c r="D32" s="4" t="s">
        <v>16</v>
      </c>
      <c r="E32" s="4">
        <v>4000</v>
      </c>
      <c r="F32" s="4">
        <v>31</v>
      </c>
      <c r="G32" s="4">
        <f t="shared" si="0"/>
        <v>124000</v>
      </c>
      <c r="H32" s="4" t="s">
        <v>17</v>
      </c>
    </row>
    <row r="33" spans="1:8">
      <c r="A33" s="3">
        <v>45764</v>
      </c>
      <c r="B33" s="4" t="s">
        <v>35</v>
      </c>
      <c r="C33" s="4" t="s">
        <v>37</v>
      </c>
      <c r="D33" s="4" t="s">
        <v>11</v>
      </c>
      <c r="E33" s="4">
        <v>1400</v>
      </c>
      <c r="F33" s="4">
        <v>145</v>
      </c>
      <c r="G33" s="4">
        <f t="shared" si="0"/>
        <v>203000</v>
      </c>
      <c r="H33" s="4" t="s">
        <v>12</v>
      </c>
    </row>
    <row r="34" spans="1:8">
      <c r="A34" s="3">
        <v>45765</v>
      </c>
      <c r="B34" s="4" t="s">
        <v>9</v>
      </c>
      <c r="C34" s="4" t="s">
        <v>10</v>
      </c>
      <c r="D34" s="4" t="s">
        <v>11</v>
      </c>
      <c r="E34" s="4">
        <v>2300</v>
      </c>
      <c r="F34" s="4">
        <v>228</v>
      </c>
      <c r="G34" s="4">
        <f t="shared" si="0"/>
        <v>524400</v>
      </c>
      <c r="H34" s="4" t="s">
        <v>12</v>
      </c>
    </row>
    <row r="35" spans="1:8">
      <c r="A35" s="3">
        <v>45766</v>
      </c>
      <c r="B35" s="4" t="s">
        <v>39</v>
      </c>
      <c r="C35" t="s">
        <v>40</v>
      </c>
      <c r="D35" s="4" t="s">
        <v>11</v>
      </c>
      <c r="E35" s="4">
        <v>200</v>
      </c>
      <c r="F35" s="4">
        <v>612</v>
      </c>
      <c r="G35" s="4">
        <f t="shared" si="0"/>
        <v>122400</v>
      </c>
      <c r="H35" s="4" t="s">
        <v>12</v>
      </c>
    </row>
    <row r="36" spans="1:8">
      <c r="A36" s="3">
        <v>45767</v>
      </c>
      <c r="B36" s="4" t="s">
        <v>35</v>
      </c>
      <c r="C36" s="4" t="s">
        <v>37</v>
      </c>
      <c r="D36" s="4" t="s">
        <v>11</v>
      </c>
      <c r="E36" s="4">
        <v>250</v>
      </c>
      <c r="F36" s="4">
        <v>151</v>
      </c>
      <c r="G36" s="4">
        <f t="shared" si="0"/>
        <v>37750</v>
      </c>
      <c r="H36" s="4" t="s">
        <v>15</v>
      </c>
    </row>
    <row r="37" spans="1:8">
      <c r="A37" s="3">
        <v>45768</v>
      </c>
      <c r="B37" s="4" t="s">
        <v>35</v>
      </c>
      <c r="C37" s="4" t="s">
        <v>37</v>
      </c>
      <c r="D37" s="4" t="s">
        <v>11</v>
      </c>
      <c r="E37" s="4">
        <v>150</v>
      </c>
      <c r="F37" s="4">
        <v>153</v>
      </c>
      <c r="G37" s="4">
        <f t="shared" si="0"/>
        <v>22950</v>
      </c>
      <c r="H37" s="4" t="s">
        <v>15</v>
      </c>
    </row>
    <row r="38" spans="1:8">
      <c r="A38" s="3">
        <v>45769</v>
      </c>
      <c r="B38" s="4" t="s">
        <v>34</v>
      </c>
      <c r="C38" s="4" t="s">
        <v>38</v>
      </c>
      <c r="D38" s="4" t="s">
        <v>11</v>
      </c>
      <c r="E38" s="4">
        <v>2000</v>
      </c>
      <c r="F38" s="4">
        <v>33</v>
      </c>
      <c r="G38" s="4">
        <f t="shared" si="0"/>
        <v>66000</v>
      </c>
      <c r="H38" s="4" t="s">
        <v>12</v>
      </c>
    </row>
    <row r="39" spans="1:8">
      <c r="A39" s="3">
        <v>45770</v>
      </c>
      <c r="B39" s="4" t="s">
        <v>34</v>
      </c>
      <c r="C39" s="4" t="s">
        <v>38</v>
      </c>
      <c r="D39" s="4" t="s">
        <v>11</v>
      </c>
      <c r="E39" s="4">
        <v>2500</v>
      </c>
      <c r="F39" s="4">
        <v>34</v>
      </c>
      <c r="G39" s="4">
        <f t="shared" si="0"/>
        <v>85000</v>
      </c>
      <c r="H39" s="4" t="s">
        <v>12</v>
      </c>
    </row>
    <row r="40" spans="1:8">
      <c r="A40" s="3">
        <v>45771</v>
      </c>
      <c r="B40" s="4" t="s">
        <v>33</v>
      </c>
      <c r="C40" s="4" t="s">
        <v>36</v>
      </c>
      <c r="D40" s="4" t="s">
        <v>11</v>
      </c>
      <c r="E40" s="4">
        <v>2000</v>
      </c>
      <c r="F40" s="4">
        <v>31.5</v>
      </c>
      <c r="G40" s="4">
        <f t="shared" si="0"/>
        <v>63000</v>
      </c>
      <c r="H40" s="4" t="s">
        <v>12</v>
      </c>
    </row>
    <row r="41" spans="1:8">
      <c r="A41" s="3">
        <v>45772</v>
      </c>
      <c r="B41" s="4" t="s">
        <v>9</v>
      </c>
      <c r="C41" s="4" t="s">
        <v>10</v>
      </c>
      <c r="D41" s="4" t="s">
        <v>16</v>
      </c>
      <c r="E41" s="4">
        <v>5000</v>
      </c>
      <c r="F41" s="4">
        <v>245</v>
      </c>
      <c r="G41" s="4">
        <f t="shared" si="0"/>
        <v>1225000</v>
      </c>
      <c r="H41" s="4" t="s">
        <v>17</v>
      </c>
    </row>
    <row r="42" spans="1:8">
      <c r="A42" s="3">
        <v>45773</v>
      </c>
      <c r="B42" s="4" t="s">
        <v>35</v>
      </c>
      <c r="C42" s="4" t="s">
        <v>37</v>
      </c>
      <c r="D42" s="4" t="s">
        <v>11</v>
      </c>
      <c r="E42" s="4">
        <v>200</v>
      </c>
      <c r="F42" s="4">
        <v>145</v>
      </c>
      <c r="G42" s="4">
        <f t="shared" si="0"/>
        <v>29000</v>
      </c>
      <c r="H42" s="4" t="s">
        <v>15</v>
      </c>
    </row>
    <row r="43" spans="1:8">
      <c r="A43" s="3">
        <v>45774</v>
      </c>
      <c r="B43" s="4" t="s">
        <v>35</v>
      </c>
      <c r="C43" s="4" t="s">
        <v>37</v>
      </c>
      <c r="D43" s="4" t="s">
        <v>16</v>
      </c>
      <c r="E43" s="4">
        <v>195</v>
      </c>
      <c r="F43" s="4">
        <v>155</v>
      </c>
      <c r="G43" s="4">
        <f t="shared" si="0"/>
        <v>30225</v>
      </c>
      <c r="H43" s="4" t="s">
        <v>17</v>
      </c>
    </row>
    <row r="44" spans="1:8">
      <c r="A44" s="3">
        <v>45775</v>
      </c>
      <c r="B44" s="4" t="s">
        <v>34</v>
      </c>
      <c r="C44" s="4" t="s">
        <v>38</v>
      </c>
      <c r="D44" s="4" t="s">
        <v>11</v>
      </c>
      <c r="E44" s="4">
        <v>1000</v>
      </c>
      <c r="F44" s="4">
        <v>29</v>
      </c>
      <c r="G44" s="4">
        <f t="shared" si="0"/>
        <v>29000</v>
      </c>
      <c r="H44" s="4" t="s">
        <v>15</v>
      </c>
    </row>
    <row r="45" spans="1:8">
      <c r="A45" s="3">
        <v>45776</v>
      </c>
      <c r="B45" s="4" t="s">
        <v>33</v>
      </c>
      <c r="C45" s="4" t="s">
        <v>36</v>
      </c>
      <c r="D45" s="4" t="s">
        <v>11</v>
      </c>
      <c r="E45" s="4">
        <v>5000</v>
      </c>
      <c r="F45" s="4">
        <v>29</v>
      </c>
      <c r="G45" s="4">
        <f t="shared" si="0"/>
        <v>145000</v>
      </c>
      <c r="H45" s="4" t="s">
        <v>12</v>
      </c>
    </row>
    <row r="46" spans="1:8">
      <c r="A46" s="3">
        <v>45777</v>
      </c>
      <c r="B46" s="4" t="s">
        <v>9</v>
      </c>
      <c r="C46" s="4" t="s">
        <v>10</v>
      </c>
      <c r="D46" s="4" t="s">
        <v>11</v>
      </c>
      <c r="E46" s="4">
        <v>320</v>
      </c>
      <c r="F46" s="4">
        <v>232</v>
      </c>
      <c r="G46" s="4">
        <f t="shared" si="0"/>
        <v>74240</v>
      </c>
      <c r="H46" s="4" t="s">
        <v>12</v>
      </c>
    </row>
    <row r="47" spans="1:8">
      <c r="A47" s="3">
        <v>45778</v>
      </c>
      <c r="B47" s="4" t="s">
        <v>34</v>
      </c>
      <c r="C47" s="4" t="s">
        <v>38</v>
      </c>
      <c r="D47" s="4" t="s">
        <v>16</v>
      </c>
      <c r="E47" s="4">
        <v>540</v>
      </c>
      <c r="F47" s="4">
        <v>32</v>
      </c>
      <c r="G47" s="4">
        <f t="shared" si="0"/>
        <v>17280</v>
      </c>
      <c r="H47" s="4" t="s">
        <v>17</v>
      </c>
    </row>
    <row r="48" spans="1:8">
      <c r="A48" s="3">
        <v>45779</v>
      </c>
      <c r="B48" s="4" t="s">
        <v>33</v>
      </c>
      <c r="C48" s="4" t="s">
        <v>36</v>
      </c>
      <c r="D48" s="4" t="s">
        <v>11</v>
      </c>
      <c r="E48" s="4">
        <v>2000</v>
      </c>
      <c r="F48" s="4">
        <v>29.5</v>
      </c>
      <c r="G48" s="4">
        <f t="shared" si="0"/>
        <v>59000</v>
      </c>
      <c r="H48" s="4" t="s">
        <v>12</v>
      </c>
    </row>
    <row r="49" spans="1:8">
      <c r="A49" s="3">
        <v>45780</v>
      </c>
      <c r="B49" s="4" t="s">
        <v>34</v>
      </c>
      <c r="C49" s="4" t="s">
        <v>38</v>
      </c>
      <c r="D49" s="4" t="s">
        <v>16</v>
      </c>
      <c r="E49" s="4">
        <v>641</v>
      </c>
      <c r="F49" s="4">
        <v>35</v>
      </c>
      <c r="G49" s="4">
        <f t="shared" si="0"/>
        <v>22435</v>
      </c>
      <c r="H49" s="4" t="s">
        <v>17</v>
      </c>
    </row>
    <row r="50" spans="1:8">
      <c r="A50" s="3">
        <v>45781</v>
      </c>
      <c r="B50" s="4" t="s">
        <v>9</v>
      </c>
      <c r="C50" s="4" t="s">
        <v>10</v>
      </c>
      <c r="D50" s="4" t="s">
        <v>11</v>
      </c>
      <c r="E50" s="4">
        <v>225</v>
      </c>
      <c r="F50" s="4">
        <v>244</v>
      </c>
      <c r="G50" s="4">
        <f t="shared" si="0"/>
        <v>54900</v>
      </c>
      <c r="H50" s="4" t="s">
        <v>12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C13" sqref="C13"/>
    </sheetView>
  </sheetViews>
  <sheetFormatPr defaultRowHeight="14.25"/>
  <cols>
    <col min="1" max="1" width="15.875" bestFit="1" customWidth="1"/>
    <col min="2" max="2" width="20.5" customWidth="1"/>
    <col min="3" max="3" width="16.75" bestFit="1" customWidth="1"/>
    <col min="4" max="4" width="14" bestFit="1" customWidth="1"/>
    <col min="5" max="5" width="10.125" bestFit="1" customWidth="1"/>
    <col min="6" max="6" width="20.75" bestFit="1" customWidth="1"/>
    <col min="7" max="7" width="23.625" bestFit="1" customWidth="1"/>
    <col min="8" max="8" width="17.125" bestFit="1" customWidth="1"/>
    <col min="9" max="9" width="15.25" bestFit="1" customWidth="1"/>
  </cols>
  <sheetData>
    <row r="1" spans="1:10" ht="20.25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15">
      <c r="A2" s="1" t="s">
        <v>2</v>
      </c>
      <c r="B2" s="1" t="s">
        <v>3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</row>
    <row r="3" spans="1:10">
      <c r="A3" t="s">
        <v>9</v>
      </c>
      <c r="B3" t="s">
        <v>10</v>
      </c>
      <c r="C3">
        <v>1181250</v>
      </c>
      <c r="D3">
        <v>1007580</v>
      </c>
      <c r="E3">
        <v>1500</v>
      </c>
      <c r="F3">
        <v>236.25</v>
      </c>
      <c r="G3">
        <v>290.55</v>
      </c>
      <c r="H3">
        <f t="shared" ref="H3:H4" si="0">(G3*E3)</f>
        <v>435825</v>
      </c>
      <c r="I3">
        <f>SUM(H3+D3-C3)</f>
        <v>262155</v>
      </c>
      <c r="J3" t="s">
        <v>27</v>
      </c>
    </row>
    <row r="4" spans="1:10">
      <c r="A4" t="s">
        <v>13</v>
      </c>
      <c r="B4" t="s">
        <v>14</v>
      </c>
      <c r="C4">
        <v>1149725</v>
      </c>
      <c r="D4">
        <v>0</v>
      </c>
      <c r="E4">
        <v>2500</v>
      </c>
      <c r="F4">
        <v>459.89</v>
      </c>
      <c r="G4">
        <v>449.35</v>
      </c>
      <c r="H4">
        <f t="shared" si="0"/>
        <v>1123375</v>
      </c>
      <c r="I4">
        <f>SUM(H4+D4-C4)</f>
        <v>-26350</v>
      </c>
      <c r="J4" t="s">
        <v>27</v>
      </c>
    </row>
    <row r="5" spans="1:10">
      <c r="A5" t="s">
        <v>28</v>
      </c>
      <c r="B5" t="s">
        <v>29</v>
      </c>
      <c r="C5">
        <v>1149869</v>
      </c>
      <c r="D5">
        <v>0</v>
      </c>
      <c r="E5" s="6">
        <v>45270</v>
      </c>
      <c r="F5">
        <v>25.44</v>
      </c>
      <c r="G5">
        <v>52</v>
      </c>
      <c r="H5">
        <f>(G5*E5)</f>
        <v>2354040</v>
      </c>
      <c r="I5">
        <f>(H5-C5)</f>
        <v>1204171</v>
      </c>
      <c r="J5" t="s">
        <v>32</v>
      </c>
    </row>
    <row r="6" spans="1:10">
      <c r="A6" t="s">
        <v>30</v>
      </c>
      <c r="B6" t="s">
        <v>31</v>
      </c>
      <c r="C6">
        <v>590000</v>
      </c>
      <c r="D6">
        <v>0</v>
      </c>
      <c r="E6" s="6">
        <v>80821</v>
      </c>
      <c r="F6">
        <v>7.3</v>
      </c>
      <c r="G6">
        <v>6.5</v>
      </c>
      <c r="H6">
        <f>(G6*E6)</f>
        <v>525336.5</v>
      </c>
      <c r="I6">
        <f>(H6-C6)</f>
        <v>-64663.5</v>
      </c>
      <c r="J6" t="s">
        <v>32</v>
      </c>
    </row>
  </sheetData>
  <mergeCells count="1">
    <mergeCell ref="A1:J1"/>
  </mergeCells>
  <conditionalFormatting sqref="I1:I1048576">
    <cfRule type="colorScale" priority="1">
      <colorScale>
        <cfvo type="num" val="0"/>
        <cfvo type="num" val="0"/>
        <color rgb="FFFF0000"/>
        <color theme="9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Abdul Wasay</dc:creator>
  <cp:keywords/>
  <dc:description/>
  <cp:lastModifiedBy>Ahmed Abdul Wasay</cp:lastModifiedBy>
  <cp:revision/>
  <dcterms:created xsi:type="dcterms:W3CDTF">2025-10-18T14:46:37Z</dcterms:created>
  <dcterms:modified xsi:type="dcterms:W3CDTF">2025-11-08T11:44:59Z</dcterms:modified>
  <cp:category/>
  <cp:contentStatus/>
</cp:coreProperties>
</file>