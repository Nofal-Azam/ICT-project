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" autoFilterDateGrouping="1"/>
  </bookViews>
  <sheets>
    <sheet name="Sheet1" sheetId="1" state="visible" r:id="rId1"/>
    <sheet name="Sheet2" sheetId="2" state="visible" r:id="rId2"/>
    <sheet name="Calculated_Summary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None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 prstMaterial="flat"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 prstMaterial="flat"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 prstMaterial="flat"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 prstMaterial="flat"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Sheet2!$B$3:$B$6</f>
              <strCache>
                <ptCount val="4"/>
                <pt idx="0">
                  <v>Engro Corporation Ltd</v>
                </pt>
                <pt idx="1">
                  <v>Lucky Cement Ltd</v>
                </pt>
                <pt idx="2">
                  <v xml:space="preserve">Fauji Cement </v>
                </pt>
                <pt idx="3">
                  <v>K electric</v>
                </pt>
              </strCache>
            </strRef>
          </cat>
          <val>
            <numRef>
              <f>Sheet2!$C$3:$C$6</f>
              <numCache>
                <formatCode>General</formatCode>
                <ptCount val="4"/>
                <pt idx="0">
                  <v>1181250</v>
                </pt>
                <pt idx="1">
                  <v>1149725</v>
                </pt>
                <pt idx="2">
                  <v>1149869</v>
                </pt>
                <pt idx="3">
                  <v>590000</v>
                </pt>
              </numCache>
            </numRef>
          </val>
        </ser>
        <dLbls>
          <dLblPos val="in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t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 xml:space="preserve"> vs Market Value 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Sheet2!$C$1:$C$2</f>
              <strCache>
                <ptCount val="2"/>
                <pt idx="1">
                  <v>Total Bought (PKR)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Sheet2!$B$3:$B$6</f>
              <strCache>
                <ptCount val="4"/>
                <pt idx="0">
                  <v>Engro Corporation Ltd</v>
                </pt>
                <pt idx="1">
                  <v>Lucky Cement Ltd</v>
                </pt>
                <pt idx="2">
                  <v xml:space="preserve">Fauji Cement </v>
                </pt>
                <pt idx="3">
                  <v>K electric</v>
                </pt>
              </strCache>
            </strRef>
          </cat>
          <val>
            <numRef>
              <f>Sheet2!$C$3:$C$6</f>
              <numCache>
                <formatCode>General</formatCode>
                <ptCount val="4"/>
                <pt idx="0">
                  <v>1181250</v>
                </pt>
                <pt idx="1">
                  <v>1149725</v>
                </pt>
                <pt idx="2">
                  <v>1149869</v>
                </pt>
                <pt idx="3">
                  <v>590000</v>
                </pt>
              </numCache>
            </numRef>
          </val>
        </ser>
        <ser>
          <idx val="1"/>
          <order val="1"/>
          <tx>
            <strRef>
              <f>Sheet2!$H$1:$H$2</f>
              <strCache>
                <ptCount val="2"/>
                <pt idx="1">
                  <v>Market Value (PKR)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Sheet2!$B$3:$B$6</f>
              <strCache>
                <ptCount val="4"/>
                <pt idx="0">
                  <v>Engro Corporation Ltd</v>
                </pt>
                <pt idx="1">
                  <v>Lucky Cement Ltd</v>
                </pt>
                <pt idx="2">
                  <v xml:space="preserve">Fauji Cement </v>
                </pt>
                <pt idx="3">
                  <v>K electric</v>
                </pt>
              </strCache>
            </strRef>
          </cat>
          <val>
            <numRef>
              <f>Sheet2!$H$3:$H$6</f>
              <numCache>
                <formatCode>General</formatCode>
                <ptCount val="4"/>
                <pt idx="0">
                  <v>435825</v>
                </pt>
                <pt idx="1">
                  <v>1123375</v>
                </pt>
                <pt idx="2">
                  <v>2354040</v>
                </pt>
                <pt idx="3">
                  <v>525336.5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26644328"/>
        <axId val="327157920"/>
      </barChart>
      <catAx>
        <axId val="326644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27157920"/>
        <crosses val="autoZero"/>
        <auto val="1"/>
        <lblAlgn val="ctr"/>
        <lblOffset val="100"/>
        <noMultiLvlLbl val="0"/>
      </catAx>
      <valAx>
        <axId val="3271579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26644328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371475</colOff>
      <row>14</row>
      <rowOff>80962</rowOff>
    </from>
    <to>
      <col>6</col>
      <colOff>247650</colOff>
      <row>29</row>
      <rowOff>109537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600075</colOff>
      <row>16</row>
      <rowOff>100012</rowOff>
    </from>
    <to>
      <col>10</col>
      <colOff>219075</colOff>
      <row>31</row>
      <rowOff>128587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opLeftCell="A7" workbookViewId="0">
      <selection activeCell="C35" sqref="C35"/>
    </sheetView>
  </sheetViews>
  <sheetFormatPr baseColWidth="8" defaultRowHeight="14.25"/>
  <cols>
    <col width="15.625" bestFit="1" customWidth="1" style="9" min="1" max="1"/>
    <col width="15.875" bestFit="1" customWidth="1" style="9" min="2" max="2"/>
    <col width="19.625" bestFit="1" customWidth="1" style="9" min="3" max="3"/>
    <col width="15.25" bestFit="1" customWidth="1" style="9" min="4" max="4"/>
    <col width="18.125" bestFit="1" customWidth="1" style="9" min="6" max="6"/>
    <col width="16.25" bestFit="1" customWidth="1" style="9" min="7" max="7"/>
    <col width="12.375" bestFit="1" customWidth="1" style="9" min="8" max="8"/>
  </cols>
  <sheetData>
    <row r="1" ht="20.25" customHeight="1" s="9">
      <c r="A1" s="8" t="inlineStr">
        <is>
          <t>PSX Transactions</t>
        </is>
      </c>
    </row>
    <row r="2" ht="15" customHeight="1" s="9">
      <c r="A2" s="2" t="inlineStr">
        <is>
          <t>Date</t>
        </is>
      </c>
      <c r="B2" s="2" t="inlineStr">
        <is>
          <t>Company Symbol</t>
        </is>
      </c>
      <c r="C2" s="2" t="inlineStr">
        <is>
          <t>Company Name</t>
        </is>
      </c>
      <c r="D2" s="2" t="inlineStr">
        <is>
          <t>Transaction Type</t>
        </is>
      </c>
      <c r="E2" s="2" t="inlineStr">
        <is>
          <t>Quantity</t>
        </is>
      </c>
      <c r="F2" s="2" t="inlineStr">
        <is>
          <t>Price Per Share (pkr)</t>
        </is>
      </c>
      <c r="G2" s="2" t="inlineStr">
        <is>
          <t>Total Amount(pkr)</t>
        </is>
      </c>
      <c r="H2" s="2" t="inlineStr">
        <is>
          <t>Remarks</t>
        </is>
      </c>
    </row>
    <row r="3">
      <c r="A3" s="3" t="n">
        <v>45672</v>
      </c>
      <c r="B3" s="3" t="inlineStr">
        <is>
          <t>ENGRO</t>
        </is>
      </c>
      <c r="C3" s="4" t="inlineStr">
        <is>
          <t>Engro Corporation Ltd</t>
        </is>
      </c>
      <c r="D3" s="4" t="inlineStr">
        <is>
          <t>Buy</t>
        </is>
      </c>
      <c r="E3" s="4" t="n">
        <v>5000</v>
      </c>
      <c r="F3" s="4" t="n">
        <v>236</v>
      </c>
      <c r="G3" s="4">
        <f>SUM(E3*F3)</f>
        <v/>
      </c>
      <c r="H3" s="4" t="inlineStr">
        <is>
          <t>Long-term</t>
        </is>
      </c>
    </row>
    <row r="4">
      <c r="A4" s="3" t="n">
        <v>45698</v>
      </c>
      <c r="B4" s="4" t="inlineStr">
        <is>
          <t>LUCK</t>
        </is>
      </c>
      <c r="C4" s="4" t="inlineStr">
        <is>
          <t>Lucky Cement Ltd</t>
        </is>
      </c>
      <c r="D4" s="4" t="inlineStr">
        <is>
          <t>Buy</t>
        </is>
      </c>
      <c r="E4" s="4" t="n">
        <v>2500</v>
      </c>
      <c r="F4" s="4" t="n">
        <v>459</v>
      </c>
      <c r="G4" s="4">
        <f>SUM(E4*F4)</f>
        <v/>
      </c>
      <c r="H4" s="4" t="inlineStr">
        <is>
          <t>Short-term</t>
        </is>
      </c>
    </row>
    <row r="5">
      <c r="A5" s="3" t="n">
        <v>45736</v>
      </c>
      <c r="B5" s="4" t="inlineStr">
        <is>
          <t>ENGRO</t>
        </is>
      </c>
      <c r="C5" s="4" t="inlineStr">
        <is>
          <t>Engro Corporation Ltd</t>
        </is>
      </c>
      <c r="D5" s="4" t="inlineStr">
        <is>
          <t>Sell</t>
        </is>
      </c>
      <c r="E5" s="4" t="n">
        <v>3500</v>
      </c>
      <c r="F5" s="4" t="n">
        <v>287</v>
      </c>
      <c r="G5" s="4">
        <f>SUM(E5*F5)</f>
        <v/>
      </c>
      <c r="H5" s="4" t="inlineStr">
        <is>
          <t>Sold for profit</t>
        </is>
      </c>
    </row>
    <row r="6">
      <c r="A6" s="3" t="n">
        <v>45737</v>
      </c>
      <c r="B6" s="4" t="inlineStr">
        <is>
          <t>LUCK</t>
        </is>
      </c>
      <c r="C6" s="4" t="inlineStr">
        <is>
          <t>Lucky Cement Ltd</t>
        </is>
      </c>
      <c r="D6" s="4" t="inlineStr">
        <is>
          <t>Buy</t>
        </is>
      </c>
      <c r="E6" s="4" t="n">
        <v>10000</v>
      </c>
      <c r="F6" s="4" t="n">
        <v>400</v>
      </c>
      <c r="G6" s="4">
        <f>SUM(E6*F6)</f>
        <v/>
      </c>
      <c r="H6" s="4" t="inlineStr">
        <is>
          <t>Long-term</t>
        </is>
      </c>
    </row>
    <row r="7">
      <c r="A7" s="3" t="n">
        <v>45738</v>
      </c>
      <c r="B7" s="4" t="inlineStr">
        <is>
          <t>DCR</t>
        </is>
      </c>
      <c r="C7" s="4" t="inlineStr">
        <is>
          <t>Dolmen City REIT</t>
        </is>
      </c>
      <c r="D7" s="4" t="inlineStr">
        <is>
          <t>Buy</t>
        </is>
      </c>
      <c r="E7" s="4" t="n">
        <v>10000</v>
      </c>
      <c r="F7" s="4" t="n">
        <v>28</v>
      </c>
      <c r="G7" s="4">
        <f>SUM(E7*F7)</f>
        <v/>
      </c>
      <c r="H7" s="4" t="inlineStr">
        <is>
          <t>Short-term</t>
        </is>
      </c>
    </row>
    <row r="8">
      <c r="A8" s="3" t="n">
        <v>45739</v>
      </c>
      <c r="B8" s="4" t="inlineStr">
        <is>
          <t>ENGRO</t>
        </is>
      </c>
      <c r="C8" s="4" t="inlineStr">
        <is>
          <t>Engro Corporation Ltd</t>
        </is>
      </c>
      <c r="D8" s="4" t="inlineStr">
        <is>
          <t>Buy</t>
        </is>
      </c>
      <c r="E8" s="4" t="n">
        <v>10000</v>
      </c>
      <c r="F8" s="4" t="n">
        <v>230</v>
      </c>
      <c r="G8" s="4">
        <f>SUM(E8*F8)</f>
        <v/>
      </c>
      <c r="H8" s="4" t="inlineStr">
        <is>
          <t>Long-term</t>
        </is>
      </c>
    </row>
    <row r="9">
      <c r="A9" s="3" t="n">
        <v>45740</v>
      </c>
      <c r="B9" s="4" t="inlineStr">
        <is>
          <t>LUCK</t>
        </is>
      </c>
      <c r="C9" s="4" t="inlineStr">
        <is>
          <t>Lucky Cement Ltd</t>
        </is>
      </c>
      <c r="D9" s="4" t="inlineStr">
        <is>
          <t>Buy</t>
        </is>
      </c>
      <c r="E9" s="4" t="n">
        <v>150</v>
      </c>
      <c r="F9" s="4" t="n">
        <v>400</v>
      </c>
      <c r="G9" s="4">
        <f>SUM(E9*F9)</f>
        <v/>
      </c>
      <c r="H9" s="4" t="inlineStr">
        <is>
          <t>Short-term</t>
        </is>
      </c>
    </row>
    <row r="10">
      <c r="A10" s="3" t="n">
        <v>45741</v>
      </c>
      <c r="B10" s="4" t="inlineStr">
        <is>
          <t>DCR</t>
        </is>
      </c>
      <c r="C10" s="4" t="inlineStr">
        <is>
          <t>Dolmen City REIT</t>
        </is>
      </c>
      <c r="D10" s="4" t="inlineStr">
        <is>
          <t>Buy</t>
        </is>
      </c>
      <c r="E10" s="4" t="n">
        <v>5000</v>
      </c>
      <c r="F10" s="4" t="n">
        <v>29</v>
      </c>
      <c r="G10" s="4">
        <f>SUM(E10*F10)</f>
        <v/>
      </c>
      <c r="H10" s="4" t="inlineStr">
        <is>
          <t>Short-term</t>
        </is>
      </c>
    </row>
    <row r="11">
      <c r="A11" s="3" t="n">
        <v>45742</v>
      </c>
      <c r="B11" s="4" t="inlineStr">
        <is>
          <t>FCCL</t>
        </is>
      </c>
      <c r="C11" s="4" t="inlineStr">
        <is>
          <t>Fauji cement company</t>
        </is>
      </c>
      <c r="D11" s="4" t="inlineStr">
        <is>
          <t>Buy</t>
        </is>
      </c>
      <c r="E11" s="4" t="n">
        <v>5000</v>
      </c>
      <c r="F11" s="4" t="n">
        <v>34</v>
      </c>
      <c r="G11" s="4">
        <f>SUM(E11*F11)</f>
        <v/>
      </c>
      <c r="H11" s="4" t="inlineStr">
        <is>
          <t>Short-term</t>
        </is>
      </c>
    </row>
    <row r="12">
      <c r="A12" s="3" t="n">
        <v>45743</v>
      </c>
      <c r="B12" s="4" t="inlineStr">
        <is>
          <t>DCR</t>
        </is>
      </c>
      <c r="C12" s="4" t="inlineStr">
        <is>
          <t>Dolmen City REIT</t>
        </is>
      </c>
      <c r="D12" s="4" t="inlineStr">
        <is>
          <t>Sell</t>
        </is>
      </c>
      <c r="E12" s="4" t="n">
        <v>200</v>
      </c>
      <c r="F12" s="4" t="n">
        <v>30</v>
      </c>
      <c r="G12" s="4">
        <f>SUM(E12*F12)</f>
        <v/>
      </c>
      <c r="H12" s="4" t="inlineStr">
        <is>
          <t>Sold for profit</t>
        </is>
      </c>
    </row>
    <row r="13">
      <c r="A13" s="3" t="n">
        <v>45744</v>
      </c>
      <c r="B13" s="4" t="inlineStr">
        <is>
          <t>FCCL</t>
        </is>
      </c>
      <c r="C13" s="4" t="inlineStr">
        <is>
          <t>Fauji cement company</t>
        </is>
      </c>
      <c r="D13" s="4" t="inlineStr">
        <is>
          <t>Sell</t>
        </is>
      </c>
      <c r="E13" s="4" t="n">
        <v>200</v>
      </c>
      <c r="F13" s="4" t="n">
        <v>33</v>
      </c>
      <c r="G13" s="4">
        <f>SUM(E13*F13)</f>
        <v/>
      </c>
      <c r="H13" s="4" t="inlineStr">
        <is>
          <t>Sold for profit</t>
        </is>
      </c>
    </row>
    <row r="14">
      <c r="A14" s="3" t="n">
        <v>45745</v>
      </c>
      <c r="B14" s="4" t="inlineStr">
        <is>
          <t>DCR</t>
        </is>
      </c>
      <c r="C14" s="4" t="inlineStr">
        <is>
          <t>Dolmen City REIT</t>
        </is>
      </c>
      <c r="D14" s="4" t="inlineStr">
        <is>
          <t>Buy</t>
        </is>
      </c>
      <c r="E14" s="4" t="n">
        <v>400</v>
      </c>
      <c r="F14" s="4" t="n">
        <v>29</v>
      </c>
      <c r="G14" s="4">
        <f>SUM(E14*F14)</f>
        <v/>
      </c>
      <c r="H14" s="4" t="inlineStr">
        <is>
          <t>Long-term</t>
        </is>
      </c>
    </row>
    <row r="15">
      <c r="A15" s="3" t="n">
        <v>45746</v>
      </c>
      <c r="B15" s="4" t="inlineStr">
        <is>
          <t>LUCK</t>
        </is>
      </c>
      <c r="C15" s="4" t="inlineStr">
        <is>
          <t>Lucky Cement Ltd</t>
        </is>
      </c>
      <c r="D15" s="4" t="inlineStr">
        <is>
          <t>Sell</t>
        </is>
      </c>
      <c r="E15" s="4" t="n">
        <v>555</v>
      </c>
      <c r="F15" s="4" t="n">
        <v>420</v>
      </c>
      <c r="G15" s="4">
        <f>SUM(E15*F15)</f>
        <v/>
      </c>
      <c r="H15" s="4" t="inlineStr">
        <is>
          <t>Sold for profit</t>
        </is>
      </c>
    </row>
    <row r="16">
      <c r="A16" s="3" t="n">
        <v>45747</v>
      </c>
      <c r="B16" s="4" t="inlineStr">
        <is>
          <t>HUBC</t>
        </is>
      </c>
      <c r="C16" s="4" t="inlineStr">
        <is>
          <t>Hub Power company</t>
        </is>
      </c>
      <c r="D16" s="4" t="inlineStr">
        <is>
          <t>Sell</t>
        </is>
      </c>
      <c r="E16" s="4" t="n">
        <v>1000</v>
      </c>
      <c r="F16" s="4" t="n">
        <v>145</v>
      </c>
      <c r="G16" s="4">
        <f>SUM(E16*F16)</f>
        <v/>
      </c>
      <c r="H16" s="4" t="inlineStr">
        <is>
          <t>Sold for profit</t>
        </is>
      </c>
    </row>
    <row r="17">
      <c r="A17" s="3" t="n">
        <v>45748</v>
      </c>
      <c r="B17" s="4" t="inlineStr">
        <is>
          <t>HUBC</t>
        </is>
      </c>
      <c r="C17" t="inlineStr">
        <is>
          <t>Hub Power company</t>
        </is>
      </c>
      <c r="D17" s="4" t="inlineStr">
        <is>
          <t>Sell</t>
        </is>
      </c>
      <c r="E17" s="4" t="n">
        <v>241</v>
      </c>
      <c r="F17" s="4" t="n">
        <v>152</v>
      </c>
      <c r="G17" s="4">
        <f>SUM(E17*F17)</f>
        <v/>
      </c>
      <c r="H17" s="4" t="inlineStr">
        <is>
          <t>Sold for profit</t>
        </is>
      </c>
    </row>
    <row r="18">
      <c r="A18" s="3" t="n">
        <v>45749</v>
      </c>
      <c r="B18" s="4" t="inlineStr">
        <is>
          <t>DCR</t>
        </is>
      </c>
      <c r="C18" s="4" t="inlineStr">
        <is>
          <t>Dolmen City REIT</t>
        </is>
      </c>
      <c r="D18" s="4" t="inlineStr">
        <is>
          <t>Sell</t>
        </is>
      </c>
      <c r="E18" s="4" t="n">
        <v>196</v>
      </c>
      <c r="F18" s="4" t="n">
        <v>31</v>
      </c>
      <c r="G18" s="4">
        <f>SUM(E18*F18)</f>
        <v/>
      </c>
      <c r="H18" s="4" t="inlineStr">
        <is>
          <t>Sold for profit</t>
        </is>
      </c>
    </row>
    <row r="19">
      <c r="A19" s="3" t="n">
        <v>45750</v>
      </c>
      <c r="B19" s="4" t="inlineStr">
        <is>
          <t>DCR</t>
        </is>
      </c>
      <c r="C19" s="4" t="inlineStr">
        <is>
          <t>Dolmen City REIT</t>
        </is>
      </c>
      <c r="D19" s="4" t="inlineStr">
        <is>
          <t>Sell</t>
        </is>
      </c>
      <c r="E19" s="4" t="n">
        <v>1000</v>
      </c>
      <c r="F19" s="4" t="n">
        <v>32</v>
      </c>
      <c r="G19" s="4">
        <f>SUM(E19*F19)</f>
        <v/>
      </c>
      <c r="H19" s="4" t="inlineStr">
        <is>
          <t>Sold for profit</t>
        </is>
      </c>
    </row>
    <row r="20">
      <c r="A20" s="3" t="n">
        <v>45751</v>
      </c>
      <c r="B20" s="4" t="inlineStr">
        <is>
          <t>DCR</t>
        </is>
      </c>
      <c r="C20" s="4" t="inlineStr">
        <is>
          <t>Dolmen City REIT</t>
        </is>
      </c>
      <c r="D20" s="4" t="inlineStr">
        <is>
          <t>Sell</t>
        </is>
      </c>
      <c r="E20" s="4" t="n">
        <v>1000</v>
      </c>
      <c r="F20" s="4" t="n">
        <v>33.5</v>
      </c>
      <c r="G20" s="4">
        <f>SUM(E20*F20)</f>
        <v/>
      </c>
      <c r="H20" s="4" t="inlineStr">
        <is>
          <t>Sold for profit</t>
        </is>
      </c>
    </row>
    <row r="21">
      <c r="A21" s="3" t="n">
        <v>45752</v>
      </c>
      <c r="B21" s="4" t="inlineStr">
        <is>
          <t>DCR</t>
        </is>
      </c>
      <c r="C21" s="4" t="inlineStr">
        <is>
          <t>Dolmen City REIT</t>
        </is>
      </c>
      <c r="D21" s="4" t="inlineStr">
        <is>
          <t>Sell</t>
        </is>
      </c>
      <c r="E21" s="4" t="n">
        <v>1000</v>
      </c>
      <c r="F21" s="4" t="n">
        <v>32</v>
      </c>
      <c r="G21" s="4">
        <f>SUM(E21*F21)</f>
        <v/>
      </c>
      <c r="H21" s="4" t="inlineStr">
        <is>
          <t>Sold for profit</t>
        </is>
      </c>
    </row>
    <row r="22">
      <c r="A22" s="3" t="n">
        <v>45753</v>
      </c>
      <c r="B22" s="4" t="inlineStr">
        <is>
          <t>LUCK</t>
        </is>
      </c>
      <c r="C22" s="4" t="inlineStr">
        <is>
          <t>Lucky Cement Ltd</t>
        </is>
      </c>
      <c r="D22" s="4" t="inlineStr">
        <is>
          <t>Sell</t>
        </is>
      </c>
      <c r="E22" s="4" t="n">
        <v>150</v>
      </c>
      <c r="F22" s="4" t="n">
        <v>410</v>
      </c>
      <c r="G22" s="4">
        <f>SUM(E22*F22)</f>
        <v/>
      </c>
      <c r="H22" s="4" t="inlineStr">
        <is>
          <t>Sold for profit</t>
        </is>
      </c>
    </row>
    <row r="23">
      <c r="A23" s="3" t="n">
        <v>45754</v>
      </c>
      <c r="B23" s="4" t="inlineStr">
        <is>
          <t>FCCL</t>
        </is>
      </c>
      <c r="C23" s="4" t="inlineStr">
        <is>
          <t>Fauji cement company</t>
        </is>
      </c>
      <c r="D23" s="4" t="inlineStr">
        <is>
          <t>Buy</t>
        </is>
      </c>
      <c r="E23" s="4" t="n">
        <v>150</v>
      </c>
      <c r="F23" s="4" t="n">
        <v>32</v>
      </c>
      <c r="G23" s="4">
        <f>SUM(E23*F23)</f>
        <v/>
      </c>
      <c r="H23" s="4" t="inlineStr">
        <is>
          <t>Long-term</t>
        </is>
      </c>
    </row>
    <row r="24">
      <c r="A24" s="3" t="n">
        <v>45755</v>
      </c>
      <c r="B24" s="4" t="inlineStr">
        <is>
          <t>ENGRO</t>
        </is>
      </c>
      <c r="C24" s="4" t="inlineStr">
        <is>
          <t>Engro Corporation Ltd</t>
        </is>
      </c>
      <c r="D24" s="4" t="inlineStr">
        <is>
          <t>Buy</t>
        </is>
      </c>
      <c r="E24" s="4" t="n">
        <v>500</v>
      </c>
      <c r="F24" s="4" t="n">
        <v>220</v>
      </c>
      <c r="G24" s="4">
        <f>SUM(E24*F24)</f>
        <v/>
      </c>
      <c r="H24" s="4" t="inlineStr">
        <is>
          <t>Short-term</t>
        </is>
      </c>
    </row>
    <row r="25">
      <c r="A25" s="3" t="n">
        <v>45756</v>
      </c>
      <c r="B25" s="4" t="inlineStr">
        <is>
          <t>LUCK</t>
        </is>
      </c>
      <c r="C25" s="4" t="inlineStr">
        <is>
          <t>Lucky Cement Ltd</t>
        </is>
      </c>
      <c r="D25" s="4" t="inlineStr">
        <is>
          <t>Buy</t>
        </is>
      </c>
      <c r="E25" s="4" t="n">
        <v>2500</v>
      </c>
      <c r="F25" s="4" t="n">
        <v>388</v>
      </c>
      <c r="G25" s="4">
        <f>SUM(E25*F25)</f>
        <v/>
      </c>
      <c r="H25" s="4" t="inlineStr">
        <is>
          <t>Short-term</t>
        </is>
      </c>
    </row>
    <row r="26">
      <c r="A26" s="3" t="n">
        <v>45757</v>
      </c>
      <c r="B26" s="4" t="inlineStr">
        <is>
          <t>DCR</t>
        </is>
      </c>
      <c r="C26" s="4" t="inlineStr">
        <is>
          <t>Dolmen City REIT</t>
        </is>
      </c>
      <c r="D26" s="4" t="inlineStr">
        <is>
          <t>Buy</t>
        </is>
      </c>
      <c r="E26" s="4" t="n">
        <v>500</v>
      </c>
      <c r="F26" s="4" t="n">
        <v>29</v>
      </c>
      <c r="G26" s="4">
        <f>SUM(E26*F26)</f>
        <v/>
      </c>
      <c r="H26" s="4" t="inlineStr">
        <is>
          <t>Short-term</t>
        </is>
      </c>
    </row>
    <row r="27">
      <c r="A27" s="3" t="n">
        <v>45758</v>
      </c>
      <c r="B27" s="4" t="inlineStr">
        <is>
          <t>HUBC</t>
        </is>
      </c>
      <c r="C27" s="4" t="inlineStr">
        <is>
          <t>Hub Power company</t>
        </is>
      </c>
      <c r="D27" s="4" t="inlineStr">
        <is>
          <t>Buy</t>
        </is>
      </c>
      <c r="E27" s="4" t="n">
        <v>1300</v>
      </c>
      <c r="F27" s="4" t="n">
        <v>152</v>
      </c>
      <c r="G27" s="4">
        <f>SUM(E27*F27)</f>
        <v/>
      </c>
      <c r="H27" s="4" t="inlineStr">
        <is>
          <t>Short-term</t>
        </is>
      </c>
    </row>
    <row r="28">
      <c r="A28" s="3" t="n">
        <v>45759</v>
      </c>
      <c r="B28" s="4" t="inlineStr">
        <is>
          <t>HUBC</t>
        </is>
      </c>
      <c r="C28" s="4" t="inlineStr">
        <is>
          <t>Hub Power company</t>
        </is>
      </c>
      <c r="D28" s="4" t="inlineStr">
        <is>
          <t>Sell</t>
        </is>
      </c>
      <c r="E28" s="4" t="n">
        <v>1200</v>
      </c>
      <c r="F28" s="4" t="n">
        <v>158</v>
      </c>
      <c r="G28" s="4">
        <f>SUM(E28*F28)</f>
        <v/>
      </c>
      <c r="H28" s="4" t="inlineStr">
        <is>
          <t>Sold for profit</t>
        </is>
      </c>
    </row>
    <row r="29">
      <c r="A29" s="3" t="n">
        <v>45760</v>
      </c>
      <c r="B29" s="4" t="inlineStr">
        <is>
          <t>HUBC</t>
        </is>
      </c>
      <c r="C29" s="4" t="inlineStr">
        <is>
          <t>Hub Power company</t>
        </is>
      </c>
      <c r="D29" s="4" t="inlineStr">
        <is>
          <t>Buy</t>
        </is>
      </c>
      <c r="E29" s="4" t="n">
        <v>1300</v>
      </c>
      <c r="F29" s="4" t="n">
        <v>149</v>
      </c>
      <c r="G29" s="4">
        <f>SUM(E29*F29)</f>
        <v/>
      </c>
      <c r="H29" s="4" t="inlineStr">
        <is>
          <t>Short-term</t>
        </is>
      </c>
    </row>
    <row r="30">
      <c r="A30" s="3" t="n">
        <v>45761</v>
      </c>
      <c r="B30" s="4" t="inlineStr">
        <is>
          <t>DCR</t>
        </is>
      </c>
      <c r="C30" s="4" t="inlineStr">
        <is>
          <t>Dolmen City REIT</t>
        </is>
      </c>
      <c r="D30" s="4" t="inlineStr">
        <is>
          <t>Sell</t>
        </is>
      </c>
      <c r="E30" s="4" t="n">
        <v>500</v>
      </c>
      <c r="F30" s="4" t="n">
        <v>33</v>
      </c>
      <c r="G30" s="4">
        <f>SUM(E30*F30)</f>
        <v/>
      </c>
      <c r="H30" s="4" t="inlineStr">
        <is>
          <t>Sold for profit</t>
        </is>
      </c>
    </row>
    <row r="31">
      <c r="A31" s="3" t="n">
        <v>45762</v>
      </c>
      <c r="B31" s="4" t="inlineStr">
        <is>
          <t>DCR</t>
        </is>
      </c>
      <c r="C31" s="4" t="inlineStr">
        <is>
          <t>Dolmen City REIT</t>
        </is>
      </c>
      <c r="D31" s="4" t="inlineStr">
        <is>
          <t>Buy</t>
        </is>
      </c>
      <c r="E31" s="4" t="n">
        <v>4500</v>
      </c>
      <c r="F31" s="4" t="n">
        <v>29</v>
      </c>
      <c r="G31" s="4">
        <f>SUM(E31*F31)</f>
        <v/>
      </c>
      <c r="H31" s="4" t="inlineStr">
        <is>
          <t>Short-term</t>
        </is>
      </c>
    </row>
    <row r="32">
      <c r="A32" s="3" t="n">
        <v>45763</v>
      </c>
      <c r="B32" s="4" t="inlineStr">
        <is>
          <t>DCR</t>
        </is>
      </c>
      <c r="C32" s="4" t="inlineStr">
        <is>
          <t>Dolmen City REIT</t>
        </is>
      </c>
      <c r="D32" s="4" t="inlineStr">
        <is>
          <t>Sell</t>
        </is>
      </c>
      <c r="E32" s="4" t="n">
        <v>4000</v>
      </c>
      <c r="F32" s="4" t="n">
        <v>31</v>
      </c>
      <c r="G32" s="4">
        <f>SUM(E32*F32)</f>
        <v/>
      </c>
      <c r="H32" s="4" t="inlineStr">
        <is>
          <t>Sold for profit</t>
        </is>
      </c>
    </row>
    <row r="33">
      <c r="A33" s="3" t="n">
        <v>45764</v>
      </c>
      <c r="B33" s="4" t="inlineStr">
        <is>
          <t>HUBC</t>
        </is>
      </c>
      <c r="C33" s="4" t="inlineStr">
        <is>
          <t>Hub Power company</t>
        </is>
      </c>
      <c r="D33" s="4" t="inlineStr">
        <is>
          <t>Buy</t>
        </is>
      </c>
      <c r="E33" s="4" t="n">
        <v>1400</v>
      </c>
      <c r="F33" s="4" t="n">
        <v>145</v>
      </c>
      <c r="G33" s="4">
        <f>SUM(E33*F33)</f>
        <v/>
      </c>
      <c r="H33" s="4" t="inlineStr">
        <is>
          <t>Long-term</t>
        </is>
      </c>
    </row>
    <row r="34">
      <c r="A34" s="3" t="n">
        <v>45765</v>
      </c>
      <c r="B34" s="4" t="inlineStr">
        <is>
          <t>ENGRO</t>
        </is>
      </c>
      <c r="C34" s="4" t="inlineStr">
        <is>
          <t>Engro Corporation Ltd</t>
        </is>
      </c>
      <c r="D34" s="4" t="inlineStr">
        <is>
          <t>Buy</t>
        </is>
      </c>
      <c r="E34" s="4" t="n">
        <v>2300</v>
      </c>
      <c r="F34" s="4" t="n">
        <v>228</v>
      </c>
      <c r="G34" s="4">
        <f>SUM(E34*F34)</f>
        <v/>
      </c>
      <c r="H34" s="4" t="inlineStr">
        <is>
          <t>Long-term</t>
        </is>
      </c>
    </row>
    <row r="35">
      <c r="A35" s="3" t="n">
        <v>45766</v>
      </c>
      <c r="B35" s="4" t="inlineStr">
        <is>
          <t>MARI</t>
        </is>
      </c>
      <c r="C35" t="inlineStr">
        <is>
          <t>Mari Energies ltd</t>
        </is>
      </c>
      <c r="D35" s="4" t="inlineStr">
        <is>
          <t>Buy</t>
        </is>
      </c>
      <c r="E35" s="4" t="n">
        <v>200</v>
      </c>
      <c r="F35" s="4" t="n">
        <v>612</v>
      </c>
      <c r="G35" s="4">
        <f>SUM(E35*F35)</f>
        <v/>
      </c>
      <c r="H35" s="4" t="inlineStr">
        <is>
          <t>Long-term</t>
        </is>
      </c>
    </row>
    <row r="36">
      <c r="A36" s="3" t="n">
        <v>45767</v>
      </c>
      <c r="B36" s="4" t="inlineStr">
        <is>
          <t>HUBC</t>
        </is>
      </c>
      <c r="C36" s="4" t="inlineStr">
        <is>
          <t>Hub Power company</t>
        </is>
      </c>
      <c r="D36" s="4" t="inlineStr">
        <is>
          <t>Buy</t>
        </is>
      </c>
      <c r="E36" s="4" t="n">
        <v>250</v>
      </c>
      <c r="F36" s="4" t="n">
        <v>151</v>
      </c>
      <c r="G36" s="4">
        <f>SUM(E36*F36)</f>
        <v/>
      </c>
      <c r="H36" s="4" t="inlineStr">
        <is>
          <t>Short-term</t>
        </is>
      </c>
    </row>
    <row r="37">
      <c r="A37" s="3" t="n">
        <v>45768</v>
      </c>
      <c r="B37" s="4" t="inlineStr">
        <is>
          <t>HUBC</t>
        </is>
      </c>
      <c r="C37" s="4" t="inlineStr">
        <is>
          <t>Hub Power company</t>
        </is>
      </c>
      <c r="D37" s="4" t="inlineStr">
        <is>
          <t>Buy</t>
        </is>
      </c>
      <c r="E37" s="4" t="n">
        <v>150</v>
      </c>
      <c r="F37" s="4" t="n">
        <v>153</v>
      </c>
      <c r="G37" s="4">
        <f>SUM(E37*F37)</f>
        <v/>
      </c>
      <c r="H37" s="4" t="inlineStr">
        <is>
          <t>Short-term</t>
        </is>
      </c>
    </row>
    <row r="38">
      <c r="A38" s="3" t="n">
        <v>45769</v>
      </c>
      <c r="B38" s="4" t="inlineStr">
        <is>
          <t>FCCL</t>
        </is>
      </c>
      <c r="C38" s="4" t="inlineStr">
        <is>
          <t>Fauji cement company</t>
        </is>
      </c>
      <c r="D38" s="4" t="inlineStr">
        <is>
          <t>Buy</t>
        </is>
      </c>
      <c r="E38" s="4" t="n">
        <v>2000</v>
      </c>
      <c r="F38" s="4" t="n">
        <v>33</v>
      </c>
      <c r="G38" s="4">
        <f>SUM(E38*F38)</f>
        <v/>
      </c>
      <c r="H38" s="4" t="inlineStr">
        <is>
          <t>Long-term</t>
        </is>
      </c>
    </row>
    <row r="39">
      <c r="A39" s="3" t="n">
        <v>45770</v>
      </c>
      <c r="B39" s="4" t="inlineStr">
        <is>
          <t>FCCL</t>
        </is>
      </c>
      <c r="C39" s="4" t="inlineStr">
        <is>
          <t>Fauji cement company</t>
        </is>
      </c>
      <c r="D39" s="4" t="inlineStr">
        <is>
          <t>Buy</t>
        </is>
      </c>
      <c r="E39" s="4" t="n">
        <v>2500</v>
      </c>
      <c r="F39" s="4" t="n">
        <v>34</v>
      </c>
      <c r="G39" s="4">
        <f>SUM(E39*F39)</f>
        <v/>
      </c>
      <c r="H39" s="4" t="inlineStr">
        <is>
          <t>Long-term</t>
        </is>
      </c>
    </row>
    <row r="40">
      <c r="A40" s="3" t="n">
        <v>45771</v>
      </c>
      <c r="B40" s="4" t="inlineStr">
        <is>
          <t>DCR</t>
        </is>
      </c>
      <c r="C40" s="4" t="inlineStr">
        <is>
          <t>Dolmen City REIT</t>
        </is>
      </c>
      <c r="D40" s="4" t="inlineStr">
        <is>
          <t>Buy</t>
        </is>
      </c>
      <c r="E40" s="4" t="n">
        <v>2000</v>
      </c>
      <c r="F40" s="4" t="n">
        <v>31.5</v>
      </c>
      <c r="G40" s="4">
        <f>SUM(E40*F40)</f>
        <v/>
      </c>
      <c r="H40" s="4" t="inlineStr">
        <is>
          <t>Long-term</t>
        </is>
      </c>
    </row>
    <row r="41">
      <c r="A41" s="3" t="n">
        <v>45772</v>
      </c>
      <c r="B41" s="4" t="inlineStr">
        <is>
          <t>ENGRO</t>
        </is>
      </c>
      <c r="C41" s="4" t="inlineStr">
        <is>
          <t>Engro Corporation Ltd</t>
        </is>
      </c>
      <c r="D41" s="4" t="inlineStr">
        <is>
          <t>Sell</t>
        </is>
      </c>
      <c r="E41" s="4" t="n">
        <v>5000</v>
      </c>
      <c r="F41" s="4" t="n">
        <v>245</v>
      </c>
      <c r="G41" s="4">
        <f>SUM(E41*F41)</f>
        <v/>
      </c>
      <c r="H41" s="4" t="inlineStr">
        <is>
          <t>Sold for profit</t>
        </is>
      </c>
    </row>
    <row r="42">
      <c r="A42" s="3" t="n">
        <v>45773</v>
      </c>
      <c r="B42" s="4" t="inlineStr">
        <is>
          <t>HUBC</t>
        </is>
      </c>
      <c r="C42" s="4" t="inlineStr">
        <is>
          <t>Hub Power company</t>
        </is>
      </c>
      <c r="D42" s="4" t="inlineStr">
        <is>
          <t>Buy</t>
        </is>
      </c>
      <c r="E42" s="4" t="n">
        <v>200</v>
      </c>
      <c r="F42" s="4" t="n">
        <v>145</v>
      </c>
      <c r="G42" s="4">
        <f>SUM(E42*F42)</f>
        <v/>
      </c>
      <c r="H42" s="4" t="inlineStr">
        <is>
          <t>Short-term</t>
        </is>
      </c>
    </row>
    <row r="43">
      <c r="A43" s="3" t="n">
        <v>45774</v>
      </c>
      <c r="B43" s="4" t="inlineStr">
        <is>
          <t>HUBC</t>
        </is>
      </c>
      <c r="C43" s="4" t="inlineStr">
        <is>
          <t>Hub Power company</t>
        </is>
      </c>
      <c r="D43" s="4" t="inlineStr">
        <is>
          <t>Sell</t>
        </is>
      </c>
      <c r="E43" s="4" t="n">
        <v>195</v>
      </c>
      <c r="F43" s="4" t="n">
        <v>155</v>
      </c>
      <c r="G43" s="4">
        <f>SUM(E43*F43)</f>
        <v/>
      </c>
      <c r="H43" s="4" t="inlineStr">
        <is>
          <t>Sold for profit</t>
        </is>
      </c>
    </row>
    <row r="44">
      <c r="A44" s="3" t="n">
        <v>45775</v>
      </c>
      <c r="B44" s="4" t="inlineStr">
        <is>
          <t>FCCL</t>
        </is>
      </c>
      <c r="C44" s="4" t="inlineStr">
        <is>
          <t>Fauji cement company</t>
        </is>
      </c>
      <c r="D44" s="4" t="inlineStr">
        <is>
          <t>Buy</t>
        </is>
      </c>
      <c r="E44" s="4" t="n">
        <v>1000</v>
      </c>
      <c r="F44" s="4" t="n">
        <v>29</v>
      </c>
      <c r="G44" s="4">
        <f>SUM(E44*F44)</f>
        <v/>
      </c>
      <c r="H44" s="4" t="inlineStr">
        <is>
          <t>Short-term</t>
        </is>
      </c>
    </row>
    <row r="45">
      <c r="A45" s="3" t="n">
        <v>45776</v>
      </c>
      <c r="B45" s="4" t="inlineStr">
        <is>
          <t>DCR</t>
        </is>
      </c>
      <c r="C45" s="4" t="inlineStr">
        <is>
          <t>Dolmen City REIT</t>
        </is>
      </c>
      <c r="D45" s="4" t="inlineStr">
        <is>
          <t>Buy</t>
        </is>
      </c>
      <c r="E45" s="4" t="n">
        <v>5000</v>
      </c>
      <c r="F45" s="4" t="n">
        <v>29</v>
      </c>
      <c r="G45" s="4">
        <f>SUM(E45*F45)</f>
        <v/>
      </c>
      <c r="H45" s="4" t="inlineStr">
        <is>
          <t>Long-term</t>
        </is>
      </c>
    </row>
    <row r="46">
      <c r="A46" s="3" t="n">
        <v>45777</v>
      </c>
      <c r="B46" s="4" t="inlineStr">
        <is>
          <t>ENGRO</t>
        </is>
      </c>
      <c r="C46" s="4" t="inlineStr">
        <is>
          <t>Engro Corporation Ltd</t>
        </is>
      </c>
      <c r="D46" s="4" t="inlineStr">
        <is>
          <t>Buy</t>
        </is>
      </c>
      <c r="E46" s="4" t="n">
        <v>320</v>
      </c>
      <c r="F46" s="4" t="n">
        <v>232</v>
      </c>
      <c r="G46" s="4">
        <f>SUM(E46*F46)</f>
        <v/>
      </c>
      <c r="H46" s="4" t="inlineStr">
        <is>
          <t>Long-term</t>
        </is>
      </c>
    </row>
    <row r="47">
      <c r="A47" s="3" t="n">
        <v>45778</v>
      </c>
      <c r="B47" s="4" t="inlineStr">
        <is>
          <t>FCCL</t>
        </is>
      </c>
      <c r="C47" s="4" t="inlineStr">
        <is>
          <t>Fauji cement company</t>
        </is>
      </c>
      <c r="D47" s="4" t="inlineStr">
        <is>
          <t>Sell</t>
        </is>
      </c>
      <c r="E47" s="4" t="n">
        <v>540</v>
      </c>
      <c r="F47" s="4" t="n">
        <v>32</v>
      </c>
      <c r="G47" s="4">
        <f>SUM(E47*F47)</f>
        <v/>
      </c>
      <c r="H47" s="4" t="inlineStr">
        <is>
          <t>Sold for profit</t>
        </is>
      </c>
    </row>
    <row r="48">
      <c r="A48" s="3" t="n">
        <v>45779</v>
      </c>
      <c r="B48" s="4" t="inlineStr">
        <is>
          <t>DCR</t>
        </is>
      </c>
      <c r="C48" s="4" t="inlineStr">
        <is>
          <t>Dolmen City REIT</t>
        </is>
      </c>
      <c r="D48" s="4" t="inlineStr">
        <is>
          <t>Buy</t>
        </is>
      </c>
      <c r="E48" s="4" t="n">
        <v>2000</v>
      </c>
      <c r="F48" s="4" t="n">
        <v>29.5</v>
      </c>
      <c r="G48" s="4">
        <f>SUM(E48*F48)</f>
        <v/>
      </c>
      <c r="H48" s="4" t="inlineStr">
        <is>
          <t>Long-term</t>
        </is>
      </c>
    </row>
    <row r="49">
      <c r="A49" s="3" t="n">
        <v>45780</v>
      </c>
      <c r="B49" s="4" t="inlineStr">
        <is>
          <t>FCCL</t>
        </is>
      </c>
      <c r="C49" s="4" t="inlineStr">
        <is>
          <t>Fauji cement company</t>
        </is>
      </c>
      <c r="D49" s="4" t="inlineStr">
        <is>
          <t>Sell</t>
        </is>
      </c>
      <c r="E49" s="4" t="n">
        <v>641</v>
      </c>
      <c r="F49" s="4" t="n">
        <v>35</v>
      </c>
      <c r="G49" s="4">
        <f>SUM(E49*F49)</f>
        <v/>
      </c>
      <c r="H49" s="4" t="inlineStr">
        <is>
          <t>Sold for profit</t>
        </is>
      </c>
    </row>
    <row r="50">
      <c r="A50" s="3" t="n">
        <v>45781</v>
      </c>
      <c r="B50" s="4" t="inlineStr">
        <is>
          <t>ENGRO</t>
        </is>
      </c>
      <c r="C50" s="4" t="inlineStr">
        <is>
          <t>Engro Corporation Ltd</t>
        </is>
      </c>
      <c r="D50" s="4" t="inlineStr">
        <is>
          <t>Buy</t>
        </is>
      </c>
      <c r="E50" s="4" t="n">
        <v>225</v>
      </c>
      <c r="F50" s="4" t="n">
        <v>244</v>
      </c>
      <c r="G50" s="4">
        <f>SUM(E50*F50)</f>
        <v/>
      </c>
      <c r="H50" s="4" t="inlineStr">
        <is>
          <t>Long-term</t>
        </is>
      </c>
    </row>
    <row r="51">
      <c r="B51" t="inlineStr">
        <is>
          <t>ENGRO</t>
        </is>
      </c>
      <c r="C51" t="inlineStr">
        <is>
          <t>Engro Corporation Ltd</t>
        </is>
      </c>
      <c r="D51" t="inlineStr">
        <is>
          <t>Sell</t>
        </is>
      </c>
      <c r="E51" t="n">
        <v>20</v>
      </c>
      <c r="F51" t="n">
        <v>300</v>
      </c>
      <c r="G51" t="n">
        <v>6000</v>
      </c>
      <c r="H51" t="inlineStr">
        <is>
          <t>SELL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M10" sqref="M10"/>
    </sheetView>
  </sheetViews>
  <sheetFormatPr baseColWidth="8" defaultRowHeight="14.25"/>
  <cols>
    <col width="15.875" bestFit="1" customWidth="1" style="9" min="1" max="1"/>
    <col width="20.5" customWidth="1" style="9" min="2" max="2"/>
    <col width="16.75" bestFit="1" customWidth="1" style="9" min="3" max="3"/>
    <col width="14" bestFit="1" customWidth="1" style="9" min="4" max="4"/>
    <col width="10.125" bestFit="1" customWidth="1" style="9" min="5" max="5"/>
    <col width="20.75" bestFit="1" customWidth="1" style="9" min="6" max="6"/>
    <col width="23.625" bestFit="1" customWidth="1" style="9" min="7" max="7"/>
    <col width="17.125" bestFit="1" customWidth="1" style="9" min="8" max="8"/>
    <col width="15.25" bestFit="1" customWidth="1" style="9" min="9" max="9"/>
  </cols>
  <sheetData>
    <row r="1" ht="20.25" customHeight="1" s="9">
      <c r="A1" s="8" t="inlineStr">
        <is>
          <t>Portfolio Summary</t>
        </is>
      </c>
    </row>
    <row r="2" ht="15" customHeight="1" s="9">
      <c r="A2" s="1" t="inlineStr">
        <is>
          <t>Company Symbol</t>
        </is>
      </c>
      <c r="B2" s="1" t="inlineStr">
        <is>
          <t>Company Name</t>
        </is>
      </c>
      <c r="C2" s="1" t="inlineStr">
        <is>
          <t>Total Bought (PKR)</t>
        </is>
      </c>
      <c r="D2" s="1" t="inlineStr">
        <is>
          <t>Total Sold(PKR)</t>
        </is>
      </c>
      <c r="E2" s="1" t="inlineStr">
        <is>
          <t>Net Shares</t>
        </is>
      </c>
      <c r="F2" s="1" t="inlineStr">
        <is>
          <t>Average Buy Price(PKR)</t>
        </is>
      </c>
      <c r="G2" s="1" t="inlineStr">
        <is>
          <t>Current Market Price (PKR)</t>
        </is>
      </c>
      <c r="H2" s="1" t="inlineStr">
        <is>
          <t>Market Value (PKR)</t>
        </is>
      </c>
      <c r="I2" s="1" t="inlineStr">
        <is>
          <t>Profit/Loss (PKR)</t>
        </is>
      </c>
      <c r="J2" s="1" t="inlineStr">
        <is>
          <t>Status</t>
        </is>
      </c>
    </row>
    <row r="3">
      <c r="A3" t="inlineStr">
        <is>
          <t>ENGRO</t>
        </is>
      </c>
      <c r="B3" t="inlineStr">
        <is>
          <t>Engro Corporation Ltd</t>
        </is>
      </c>
      <c r="C3" t="n">
        <v>1181250</v>
      </c>
      <c r="D3" t="n">
        <v>1007580</v>
      </c>
      <c r="E3" t="n">
        <v>1500</v>
      </c>
      <c r="F3" t="n">
        <v>236.25</v>
      </c>
      <c r="G3" t="n">
        <v>290.55</v>
      </c>
      <c r="H3">
        <f>(G3*E3)</f>
        <v/>
      </c>
      <c r="I3">
        <f>SUM(H3+D3-C3)</f>
        <v/>
      </c>
      <c r="J3" t="inlineStr">
        <is>
          <t>Holding</t>
        </is>
      </c>
    </row>
    <row r="4">
      <c r="A4" t="inlineStr">
        <is>
          <t>LUCK</t>
        </is>
      </c>
      <c r="B4" t="inlineStr">
        <is>
          <t>Lucky Cement Ltd</t>
        </is>
      </c>
      <c r="C4" t="n">
        <v>1149725</v>
      </c>
      <c r="D4" t="n">
        <v>0</v>
      </c>
      <c r="E4" t="n">
        <v>2500</v>
      </c>
      <c r="F4" t="n">
        <v>459.89</v>
      </c>
      <c r="G4" t="n">
        <v>449.35</v>
      </c>
      <c r="H4">
        <f>(G4*E4)</f>
        <v/>
      </c>
      <c r="I4">
        <f>SUM(H4+D4-C4)</f>
        <v/>
      </c>
      <c r="J4" t="inlineStr">
        <is>
          <t>Holding</t>
        </is>
      </c>
    </row>
    <row r="5">
      <c r="A5" t="inlineStr">
        <is>
          <t>FCCL</t>
        </is>
      </c>
      <c r="B5" t="inlineStr">
        <is>
          <t xml:space="preserve">Fauji Cement </t>
        </is>
      </c>
      <c r="C5" t="n">
        <v>1149869</v>
      </c>
      <c r="D5" t="n">
        <v>0</v>
      </c>
      <c r="E5" s="5" t="n">
        <v>45270</v>
      </c>
      <c r="F5" t="n">
        <v>25.44</v>
      </c>
      <c r="G5" t="n">
        <v>52</v>
      </c>
      <c r="H5">
        <f>(G5*E5)</f>
        <v/>
      </c>
      <c r="I5">
        <f>(H5-C5)</f>
        <v/>
      </c>
      <c r="J5" t="inlineStr">
        <is>
          <t>holding</t>
        </is>
      </c>
    </row>
    <row r="6">
      <c r="A6" t="inlineStr">
        <is>
          <t>KEL</t>
        </is>
      </c>
      <c r="B6" t="inlineStr">
        <is>
          <t>K electric</t>
        </is>
      </c>
      <c r="C6" t="n">
        <v>590000</v>
      </c>
      <c r="D6" t="n">
        <v>0</v>
      </c>
      <c r="E6" s="5" t="n">
        <v>80821</v>
      </c>
      <c r="F6" t="n">
        <v>7.3</v>
      </c>
      <c r="G6" t="n">
        <v>6.5</v>
      </c>
      <c r="H6">
        <f>(G6*E6)</f>
        <v/>
      </c>
      <c r="I6">
        <f>(H6-C6)</f>
        <v/>
      </c>
      <c r="J6" t="inlineStr">
        <is>
          <t>holding</t>
        </is>
      </c>
    </row>
    <row r="7">
      <c r="A7" t="inlineStr">
        <is>
          <t>DCR</t>
        </is>
      </c>
      <c r="B7" s="4" t="inlineStr">
        <is>
          <t>Dolmen City REIT</t>
        </is>
      </c>
      <c r="C7" t="n">
        <v>848600</v>
      </c>
      <c r="D7" t="n">
        <v>250076</v>
      </c>
      <c r="E7" t="n">
        <v>21504</v>
      </c>
      <c r="F7" t="n">
        <v>28.86394557823129</v>
      </c>
      <c r="G7" t="n">
        <v>32.07</v>
      </c>
      <c r="H7">
        <f>(G7*E7)</f>
        <v/>
      </c>
      <c r="J7" t="inlineStr">
        <is>
          <t>holding</t>
        </is>
      </c>
    </row>
    <row r="8">
      <c r="A8" t="inlineStr">
        <is>
          <t>HUBC</t>
        </is>
      </c>
      <c r="B8" s="4" t="inlineStr">
        <is>
          <t>Hub Power company</t>
        </is>
      </c>
      <c r="C8" t="n">
        <v>684000</v>
      </c>
      <c r="D8" t="n">
        <v>401457</v>
      </c>
      <c r="E8" t="n">
        <v>1964</v>
      </c>
      <c r="F8" t="n">
        <v>148.695652173913</v>
      </c>
      <c r="G8" t="n">
        <v>219</v>
      </c>
      <c r="H8">
        <f>(G8*E8)</f>
        <v/>
      </c>
      <c r="J8" t="inlineStr">
        <is>
          <t>holding</t>
        </is>
      </c>
    </row>
    <row r="9">
      <c r="A9" t="inlineStr">
        <is>
          <t>MARI</t>
        </is>
      </c>
      <c r="B9" t="inlineStr">
        <is>
          <t>Mari Energies ltd</t>
        </is>
      </c>
      <c r="C9" t="n">
        <v>122400</v>
      </c>
      <c r="D9" t="n">
        <v>0</v>
      </c>
      <c r="E9" t="n">
        <v>200</v>
      </c>
      <c r="F9" t="n">
        <v>612</v>
      </c>
      <c r="G9" t="n">
        <v>684.79</v>
      </c>
      <c r="H9">
        <f>(G9*E9)</f>
        <v/>
      </c>
      <c r="J9" t="inlineStr">
        <is>
          <t>holding</t>
        </is>
      </c>
    </row>
  </sheetData>
  <mergeCells count="1">
    <mergeCell ref="A1:J1"/>
  </mergeCells>
  <conditionalFormatting sqref="I1:I1048576">
    <cfRule type="colorScale" priority="1">
      <colorScale>
        <cfvo type="num" val="0"/>
        <cfvo type="num" val="0"/>
        <color rgb="FFFF0000"/>
        <color theme="9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Company Symbol</t>
        </is>
      </c>
      <c r="B1" s="10" t="inlineStr">
        <is>
          <t>Company Name</t>
        </is>
      </c>
      <c r="C1" s="10" t="inlineStr">
        <is>
          <t>Total Bought (PKR)</t>
        </is>
      </c>
      <c r="D1" s="10" t="inlineStr">
        <is>
          <t>Total Sold(PKR)</t>
        </is>
      </c>
      <c r="E1" s="10" t="inlineStr">
        <is>
          <t>Net Shares</t>
        </is>
      </c>
      <c r="F1" s="10" t="inlineStr">
        <is>
          <t>Average Buy Price(PKR)</t>
        </is>
      </c>
      <c r="G1" s="10" t="inlineStr">
        <is>
          <t>Current Market Price (PKR)</t>
        </is>
      </c>
      <c r="H1" s="10" t="inlineStr">
        <is>
          <t>Market Value (PKR)</t>
        </is>
      </c>
      <c r="I1" s="10" t="inlineStr">
        <is>
          <t>Profit/Loss (PKR)</t>
        </is>
      </c>
      <c r="J1" s="10" t="inlineStr">
        <is>
          <t>Status</t>
        </is>
      </c>
    </row>
    <row r="2">
      <c r="A2" t="inlineStr">
        <is>
          <t>ENGRO</t>
        </is>
      </c>
      <c r="B2" t="inlineStr">
        <is>
          <t>Engro Corporation Ltd</t>
        </is>
      </c>
      <c r="C2" t="n">
        <v>4243540</v>
      </c>
      <c r="D2" t="n">
        <v>2235500</v>
      </c>
      <c r="E2" t="n">
        <v>9825</v>
      </c>
      <c r="F2" t="n">
        <v>231.3186154265468</v>
      </c>
      <c r="G2" t="n">
        <v>290.55</v>
      </c>
      <c r="H2" t="n">
        <v>2854653.75</v>
      </c>
      <c r="I2" t="n">
        <v>846613.75</v>
      </c>
      <c r="J2" t="inlineStr">
        <is>
          <t>19.95%</t>
        </is>
      </c>
    </row>
    <row r="3">
      <c r="A3" t="inlineStr">
        <is>
          <t>LUCK</t>
        </is>
      </c>
      <c r="B3" t="inlineStr">
        <is>
          <t>Lucky Cement Ltd</t>
        </is>
      </c>
      <c r="C3" t="n">
        <v>6177500</v>
      </c>
      <c r="D3" t="n">
        <v>294600</v>
      </c>
      <c r="E3" t="n">
        <v>14445</v>
      </c>
      <c r="F3" t="n">
        <v>407.7557755775578</v>
      </c>
      <c r="G3" t="n">
        <v>449.35</v>
      </c>
      <c r="H3" t="n">
        <v>6490860.75</v>
      </c>
      <c r="I3" t="n">
        <v>607960.75</v>
      </c>
      <c r="J3" t="inlineStr">
        <is>
          <t>9.84%</t>
        </is>
      </c>
    </row>
    <row r="4">
      <c r="A4" t="inlineStr">
        <is>
          <t>DCR</t>
        </is>
      </c>
      <c r="B4" t="inlineStr">
        <is>
          <t>Dolmen City REIT</t>
        </is>
      </c>
      <c r="C4" t="n">
        <v>848600</v>
      </c>
      <c r="D4" t="n">
        <v>250076</v>
      </c>
      <c r="E4" t="n">
        <v>21504</v>
      </c>
      <c r="F4" t="n">
        <v>28.86394557823129</v>
      </c>
      <c r="G4" t="n">
        <v>32.07</v>
      </c>
      <c r="H4" t="n">
        <v>689633.28</v>
      </c>
      <c r="I4" t="n">
        <v>91109.28000000003</v>
      </c>
      <c r="J4" t="inlineStr">
        <is>
          <t>10.74%</t>
        </is>
      </c>
    </row>
    <row r="5">
      <c r="A5" t="inlineStr">
        <is>
          <t>FCCL</t>
        </is>
      </c>
      <c r="B5" t="inlineStr">
        <is>
          <t xml:space="preserve">Fauji Cement </t>
        </is>
      </c>
      <c r="C5" t="n">
        <v>354800</v>
      </c>
      <c r="D5" t="n">
        <v>46315</v>
      </c>
      <c r="E5" t="n">
        <v>9269</v>
      </c>
      <c r="F5" t="n">
        <v>33.31455399061033</v>
      </c>
      <c r="G5" t="n">
        <v>52</v>
      </c>
      <c r="H5" t="n">
        <v>481988</v>
      </c>
      <c r="I5" t="n">
        <v>173503</v>
      </c>
      <c r="J5" t="inlineStr">
        <is>
          <t>48.90%</t>
        </is>
      </c>
    </row>
    <row r="6">
      <c r="A6" t="inlineStr">
        <is>
          <t>HUBC</t>
        </is>
      </c>
      <c r="B6" t="inlineStr">
        <is>
          <t>Hub Power company</t>
        </is>
      </c>
      <c r="C6" t="n">
        <v>684000</v>
      </c>
      <c r="D6" t="n">
        <v>401457</v>
      </c>
      <c r="E6" t="n">
        <v>1964</v>
      </c>
      <c r="F6" t="n">
        <v>148.695652173913</v>
      </c>
      <c r="G6" t="n">
        <v>219</v>
      </c>
      <c r="H6" t="n">
        <v>430116</v>
      </c>
      <c r="I6" t="n">
        <v>147573</v>
      </c>
      <c r="J6" t="inlineStr">
        <is>
          <t>21.57%</t>
        </is>
      </c>
    </row>
    <row r="7">
      <c r="A7" t="inlineStr">
        <is>
          <t>MARI</t>
        </is>
      </c>
      <c r="B7" t="inlineStr">
        <is>
          <t>Mari Energies ltd</t>
        </is>
      </c>
      <c r="C7" t="n">
        <v>122400</v>
      </c>
      <c r="D7" t="n">
        <v>0</v>
      </c>
      <c r="E7" t="n">
        <v>200</v>
      </c>
      <c r="F7" t="n">
        <v>612</v>
      </c>
      <c r="G7" t="n">
        <v>684.79</v>
      </c>
      <c r="H7" t="n">
        <v>136958</v>
      </c>
      <c r="I7" t="n">
        <v>14558</v>
      </c>
      <c r="J7" t="inlineStr">
        <is>
          <t>11.89%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Ahmed Abdul Wasay</dc:creator>
  <dcterms:created xsi:type="dcterms:W3CDTF">2025-10-18T14:46:37Z</dcterms:created>
  <dcterms:modified xsi:type="dcterms:W3CDTF">2025-11-16T06:00:20Z</dcterms:modified>
  <cp:lastModifiedBy>User</cp:lastModifiedBy>
</cp:coreProperties>
</file>